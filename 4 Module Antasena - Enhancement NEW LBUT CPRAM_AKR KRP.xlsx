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https://nttlimited-my.sharepoint.com/personal/rizka_kusumaningtyas_global_ntt/Documents/0 MIGRASI LAPTOP LAMA/task/DBS/CHANGE REQUEST/ASSESSMENT/2026/SEPT 2026/CALC/"/>
    </mc:Choice>
  </mc:AlternateContent>
  <xr:revisionPtr revIDLastSave="432" documentId="8_{93CE3614-8AC5-4699-94E4-3D7EFFF0824A}" xr6:coauthVersionLast="47" xr6:coauthVersionMax="47" xr10:uidLastSave="{9B626F1D-AD99-4019-8663-1019E91F2714}"/>
  <bookViews>
    <workbookView xWindow="-110" yWindow="-110" windowWidth="19420" windowHeight="10300" firstSheet="3" activeTab="5" xr2:uid="{00000000-000D-0000-FFFF-FFFF00000000}"/>
  </bookViews>
  <sheets>
    <sheet name="Summary" sheetId="8" state="hidden" r:id="rId1"/>
    <sheet name="LKPBU" sheetId="4" state="hidden" r:id="rId2"/>
    <sheet name="LBBU" sheetId="5" state="hidden" r:id="rId3"/>
    <sheet name="Combine" sheetId="11" r:id="rId4"/>
    <sheet name="Timeline" sheetId="14" r:id="rId5"/>
    <sheet name="Detail" sheetId="15" r:id="rId6"/>
    <sheet name="Detail Revamp Antasena" sheetId="13" state="hidden" r:id="rId7"/>
    <sheet name="CF Data(V+)" sheetId="7" state="hidden" r:id="rId8"/>
  </sheets>
  <externalReferences>
    <externalReference r:id="rId9"/>
    <externalReference r:id="rId10"/>
  </externalReferences>
  <definedNames>
    <definedName name="Approach">[1]Parameters!$C$352:$C$354</definedName>
    <definedName name="Group">[1]Parameters!$C$317:$C$318</definedName>
    <definedName name="NERACA_1" localSheetId="2">#REF!</definedName>
    <definedName name="NERACA_1" localSheetId="1">#REF!</definedName>
    <definedName name="NERACA_1">#REF!</definedName>
    <definedName name="OpRiskApproach">[1]Parameters!$C$346:$C$347</definedName>
    <definedName name="YesNo">[1]Parameters!$C$315:$C$316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15" l="1"/>
  <c r="M20" i="15"/>
  <c r="N20" i="15"/>
  <c r="O20" i="15"/>
  <c r="P20" i="15"/>
  <c r="Q20" i="15"/>
  <c r="R20" i="15"/>
  <c r="S20" i="15"/>
  <c r="T20" i="15"/>
  <c r="AM26" i="11"/>
  <c r="AE25" i="11"/>
  <c r="AE26" i="11"/>
  <c r="AE27" i="11"/>
  <c r="AM27" i="11" s="1"/>
  <c r="AE28" i="11"/>
  <c r="AE29" i="11"/>
  <c r="AE30" i="11"/>
  <c r="AE24" i="11"/>
  <c r="K20" i="15"/>
  <c r="AG37" i="11" l="1"/>
  <c r="O36" i="11" s="1"/>
  <c r="AG38" i="11"/>
  <c r="AG39" i="11"/>
  <c r="O38" i="11" s="1"/>
  <c r="AG40" i="11"/>
  <c r="O39" i="11" s="1"/>
  <c r="AG41" i="11"/>
  <c r="O40" i="11" s="1"/>
  <c r="AG42" i="11"/>
  <c r="O41" i="11" s="1"/>
  <c r="AK31" i="11"/>
  <c r="AK32" i="11" s="1"/>
  <c r="O37" i="11" l="1"/>
  <c r="AM28" i="11"/>
  <c r="P42" i="11" l="1"/>
  <c r="Q42" i="11"/>
  <c r="R42" i="11"/>
  <c r="S42" i="11"/>
  <c r="U42" i="11"/>
  <c r="AW42" i="11"/>
  <c r="BD42" i="11" s="1"/>
  <c r="AO42" i="11"/>
  <c r="Y40" i="11"/>
  <c r="Y39" i="11"/>
  <c r="Y42" i="11" l="1"/>
  <c r="Z42" i="11" s="1"/>
  <c r="AS42" i="11"/>
  <c r="AZ42" i="11" s="1"/>
  <c r="AU42" i="11"/>
  <c r="BB42" i="11" s="1"/>
  <c r="AV42" i="11"/>
  <c r="BC42" i="11" s="1"/>
  <c r="AX42" i="11"/>
  <c r="BE42" i="11" s="1"/>
  <c r="AP42" i="11"/>
  <c r="AT42" i="11"/>
  <c r="BA42" i="11" s="1"/>
  <c r="AS41" i="11"/>
  <c r="AZ41" i="11" s="1"/>
  <c r="AX41" i="11"/>
  <c r="BE41" i="11" s="1"/>
  <c r="AU41" i="11"/>
  <c r="BB41" i="11" s="1"/>
  <c r="AV41" i="11"/>
  <c r="BC41" i="11" s="1"/>
  <c r="AW41" i="11"/>
  <c r="BD41" i="11" s="1"/>
  <c r="AT41" i="11"/>
  <c r="BA41" i="11" s="1"/>
  <c r="AO41" i="11" l="1"/>
  <c r="AO40" i="11"/>
  <c r="AO39" i="11"/>
  <c r="AO38" i="11"/>
  <c r="AO37" i="11"/>
  <c r="AO44" i="11" l="1"/>
  <c r="AG44" i="11"/>
  <c r="AV37" i="11" l="1"/>
  <c r="BC37" i="11" s="1"/>
  <c r="AS37" i="11"/>
  <c r="AZ37" i="11" s="1"/>
  <c r="AW37" i="11"/>
  <c r="BD37" i="11" s="1"/>
  <c r="AP37" i="11"/>
  <c r="AU37" i="11"/>
  <c r="BB37" i="11" s="1"/>
  <c r="AX37" i="11"/>
  <c r="BE37" i="11" s="1"/>
  <c r="AT37" i="11"/>
  <c r="BA37" i="11" s="1"/>
  <c r="W35" i="11"/>
  <c r="X35" i="11" s="1"/>
  <c r="E16" i="13"/>
  <c r="G16" i="13" s="1"/>
  <c r="E15" i="13"/>
  <c r="G15" i="13" s="1"/>
  <c r="E14" i="13"/>
  <c r="G14" i="13" s="1"/>
  <c r="E12" i="13"/>
  <c r="G12" i="13" s="1"/>
  <c r="E9" i="13"/>
  <c r="G9" i="13" s="1"/>
  <c r="G7" i="13"/>
  <c r="E6" i="13"/>
  <c r="G6" i="13" s="1"/>
  <c r="E2" i="13"/>
  <c r="G2" i="13" s="1"/>
  <c r="G17" i="13" l="1"/>
  <c r="AT39" i="11"/>
  <c r="BA39" i="11" s="1"/>
  <c r="AX39" i="11"/>
  <c r="BE39" i="11" s="1"/>
  <c r="AW39" i="11"/>
  <c r="BD39" i="11" s="1"/>
  <c r="AV39" i="11"/>
  <c r="BC39" i="11" s="1"/>
  <c r="AU39" i="11"/>
  <c r="BB39" i="11" s="1"/>
  <c r="AP39" i="11"/>
  <c r="AS39" i="11"/>
  <c r="AZ39" i="11" s="1"/>
  <c r="AP41" i="11" l="1"/>
  <c r="AH30" i="11"/>
  <c r="AG26" i="11" l="1"/>
  <c r="AH26" i="11"/>
  <c r="AG29" i="11"/>
  <c r="AH29" i="11"/>
  <c r="AG28" i="11"/>
  <c r="AH28" i="11"/>
  <c r="AG27" i="11"/>
  <c r="AH27" i="11"/>
  <c r="AG25" i="11"/>
  <c r="AH25" i="11"/>
  <c r="AG24" i="11"/>
  <c r="AH24" i="11"/>
  <c r="O42" i="11"/>
  <c r="AP40" i="11"/>
  <c r="AW40" i="11"/>
  <c r="BD40" i="11" s="1"/>
  <c r="AV40" i="11"/>
  <c r="BC40" i="11" s="1"/>
  <c r="AU40" i="11"/>
  <c r="BB40" i="11" s="1"/>
  <c r="AT40" i="11"/>
  <c r="BA40" i="11" s="1"/>
  <c r="AS40" i="11"/>
  <c r="AZ40" i="11" s="1"/>
  <c r="AX40" i="11"/>
  <c r="BE40" i="11" s="1"/>
  <c r="AU38" i="11"/>
  <c r="BB38" i="11" s="1"/>
  <c r="AS38" i="11"/>
  <c r="AZ38" i="11" s="1"/>
  <c r="AV38" i="11"/>
  <c r="BC38" i="11" s="1"/>
  <c r="AX38" i="11"/>
  <c r="AW38" i="11"/>
  <c r="AP38" i="11"/>
  <c r="AT38" i="11"/>
  <c r="AE31" i="11"/>
  <c r="K3" i="8"/>
  <c r="E9" i="8"/>
  <c r="E8" i="8"/>
  <c r="H10" i="8"/>
  <c r="I10" i="8"/>
  <c r="J10" i="8"/>
  <c r="K10" i="8"/>
  <c r="L10" i="8"/>
  <c r="G10" i="8"/>
  <c r="J3" i="8"/>
  <c r="K4" i="8"/>
  <c r="L3" i="8"/>
  <c r="I3" i="8"/>
  <c r="H10" i="7"/>
  <c r="L4" i="8" s="1"/>
  <c r="C1" i="4"/>
  <c r="I4" i="8" s="1"/>
  <c r="G4" i="8"/>
  <c r="A5" i="4"/>
  <c r="A6" i="4" s="1"/>
  <c r="A7" i="4" s="1"/>
  <c r="A8" i="4" s="1"/>
  <c r="A9" i="4" s="1"/>
  <c r="A10" i="4" s="1"/>
  <c r="A11" i="4" s="1"/>
  <c r="A12" i="4" s="1"/>
  <c r="C1" i="5"/>
  <c r="J4" i="8" s="1"/>
  <c r="H4" i="8"/>
  <c r="H3" i="8"/>
  <c r="AG31" i="11" l="1"/>
  <c r="AH31" i="11"/>
  <c r="AP44" i="11"/>
  <c r="I5" i="8"/>
  <c r="BA38" i="11"/>
  <c r="BD38" i="11"/>
  <c r="BE38" i="11"/>
  <c r="E10" i="8"/>
  <c r="H5" i="8"/>
  <c r="L5" i="8"/>
  <c r="K5" i="8"/>
  <c r="E3" i="8"/>
  <c r="G3" i="8"/>
  <c r="G5" i="8" s="1"/>
  <c r="E4" i="8"/>
  <c r="J5" i="8"/>
  <c r="AZ47" i="11" l="1"/>
  <c r="AZ48" i="11" s="1"/>
  <c r="E5" i="8"/>
  <c r="BA47" i="11" l="1"/>
  <c r="BA48" i="11" s="1"/>
  <c r="T42" i="11"/>
  <c r="W40" i="11"/>
  <c r="M40" i="11" s="1"/>
  <c r="X40" i="11" s="1"/>
  <c r="W37" i="11"/>
  <c r="M37" i="11" s="1"/>
  <c r="X37" i="11" s="1"/>
  <c r="W41" i="11"/>
  <c r="M41" i="11" s="1"/>
  <c r="X41" i="11" s="1"/>
  <c r="W36" i="11"/>
  <c r="M36" i="11" s="1"/>
  <c r="X36" i="11" s="1"/>
  <c r="W39" i="11"/>
  <c r="M39" i="11" s="1"/>
  <c r="X39" i="11" s="1"/>
  <c r="W38" i="11"/>
  <c r="M38" i="11" s="1"/>
  <c r="X38" i="11" s="1"/>
  <c r="W42" i="11" l="1"/>
  <c r="M42" i="11"/>
  <c r="X42" i="11" l="1"/>
</calcChain>
</file>

<file path=xl/sharedStrings.xml><?xml version="1.0" encoding="utf-8"?>
<sst xmlns="http://schemas.openxmlformats.org/spreadsheetml/2006/main" count="415" uniqueCount="199">
  <si>
    <t>Mandays</t>
  </si>
  <si>
    <t>No</t>
  </si>
  <si>
    <t>Item</t>
  </si>
  <si>
    <t>Form</t>
  </si>
  <si>
    <t>Detail Enhancement BI</t>
  </si>
  <si>
    <t>Notes</t>
  </si>
  <si>
    <t>Fixing</t>
  </si>
  <si>
    <t>Enhancement Finance</t>
  </si>
  <si>
    <t>Depart</t>
  </si>
  <si>
    <t>Finance</t>
  </si>
  <si>
    <t>-</t>
  </si>
  <si>
    <t>LKPBU - BS</t>
  </si>
  <si>
    <t>F901</t>
  </si>
  <si>
    <t>F902</t>
  </si>
  <si>
    <t>LKPBU - Laba Rugi</t>
  </si>
  <si>
    <t>Status</t>
  </si>
  <si>
    <t>Detail Notes</t>
  </si>
  <si>
    <t>17-Mar-2016</t>
  </si>
  <si>
    <t>LKPBU - New Parameter Form for PPA on CKPN</t>
  </si>
  <si>
    <t>Parameter</t>
  </si>
  <si>
    <t>Adding parameter form on Upload Process and display form</t>
  </si>
  <si>
    <t>F901-KPMM</t>
  </si>
  <si>
    <t>F901-KAP</t>
  </si>
  <si>
    <t>F902-KPMM</t>
  </si>
  <si>
    <t>F902-KAP</t>
  </si>
  <si>
    <t>remove form 6 and form 28, replace to form 42</t>
  </si>
  <si>
    <t>Form12</t>
  </si>
  <si>
    <t>Jenis Enhancement</t>
  </si>
  <si>
    <t>LBU Form 6 and LBU form 28 should be removed from report LBBU 12 and replaced by LBU form 42. You should filter “Variabel yang Mendasari” and take code 2 and 3 for the report. Tagihan Derivative should be reported in Aktiva side and Kewajiban Derivative should be reported in Pasiva side</t>
  </si>
  <si>
    <t>add logic jenis on form 7 without interest rate</t>
  </si>
  <si>
    <t>Reclass Form F0024, should only on Bucket &lt; 1 month</t>
  </si>
  <si>
    <t>Form 24 should be classified into bucket “A.&lt; 1 bulan”, without considered the maturity date</t>
  </si>
  <si>
    <t>enhancement logic for sandi 20790, 20700, 20600</t>
  </si>
  <si>
    <t>4A</t>
  </si>
  <si>
    <t>enhancement logic for sandi 40100, 40200</t>
  </si>
  <si>
    <t>enhancement logic for sandi 50100, 50130, 50132</t>
  </si>
  <si>
    <t>4B</t>
  </si>
  <si>
    <t>Form11</t>
  </si>
  <si>
    <t>add form f0042 to line 17,22</t>
  </si>
  <si>
    <t>add product LC to line 38</t>
  </si>
  <si>
    <t>add unused LC to line 72</t>
  </si>
  <si>
    <t>remove net off for line 27, and line 18</t>
  </si>
  <si>
    <t>Finance Mandays</t>
  </si>
  <si>
    <t>SCOPE OF CR For Finance :</t>
  </si>
  <si>
    <t>Additional new items from OJK</t>
  </si>
  <si>
    <t>There are no changing/revised formula that agreed  ,tested, &amp; implemented on Regla Application</t>
  </si>
  <si>
    <t>LLD</t>
  </si>
  <si>
    <t>Module</t>
  </si>
  <si>
    <t>Department</t>
  </si>
  <si>
    <t>Enhancement</t>
  </si>
  <si>
    <t>Enhancement Type</t>
  </si>
  <si>
    <t>Total Mandays</t>
  </si>
  <si>
    <t>Scope</t>
  </si>
  <si>
    <t>Out of Scope</t>
  </si>
  <si>
    <t>Out Of Scope</t>
  </si>
  <si>
    <t xml:space="preserve">1Modal Inti Utama (CET 1)
1.1Modal disetor (Setelah dikurangi Saham Treasury)
1.2Cadangan Tambahan Modal 1)
1.2.4Laba/Rugi tahun-tahun lalu yang dapat diperhitungkan
1.2.5Laba/Rugi tahun berjalan yang dapat diperhitungkan
1.2.10Pendapatan komprehensif lain
1.2.12Selisih kurang antara PPA dan cadangan kerugian penurunan nilai atas aset produktif  
1.4Faktor Pengurang Modal Inti Utama 1)
1.4.1Perhitungan pajak tangguhan
1.4.3Aset tidak berwujud lainnya
Modal Pelengkap (Tier 2)
1Instrumen modal dalam bentuk saham atau lainnya yang memenuhi persyaratan
3Cadangan umum aset produktif PPA yang wajib dibentuk (maks 1,25% ATMR Risiko Kredit) 
Total Modal
Penambahan parameter table untuk ATMR
Penambahan parameter table untuk PPA
</t>
  </si>
  <si>
    <t xml:space="preserve">Sandi A10A, 
Sandi B4A, 
Sandi B7A1,
Sandi B7A2,
Sandi B7B1,
Sandi B7B2,
New Sandi 10- Tagihan lainnya*
</t>
  </si>
  <si>
    <t xml:space="preserve">Modal Inti (Tier 1)
1Modal Inti Utama (CET 1)
1.1Modal disetor (Setelah dikurangi Saham Treasury)
1.2Cadangan Tambahan Modal 1)
1.2.4Laba/Rugi tahun-tahun lalu yang dapat diperhitungkan
1.2.5Laba/Rugi tahun berjalan yang dapat diperhitungkan
1.2.10Pendapatan komprehensif lain
1.2.12Selisih kurang antara PPA dan cadangan kerugian penurunan nilai atas aset produktif  
1.4Faktor Pengurang Modal Inti Utama 1)
1.4.1Perhitungan pajak tangguhan
1.4.3Aset tidak berwujud lainnya
Modal Pelengkap (Tier 2)
1Instrumen modal dalam bentuk saham atau lainnya yang memenuhi persyaratan
3Cadangan umum aset produktif PPA yang wajib dibentuk (maks 1,25% ATMR Risiko Kredit) 
Total Modal
Penambahan parameter table untuk ATMR
Penambahan parameter table untuk PPA
</t>
  </si>
  <si>
    <t xml:space="preserve">Sandi A10A,
Sandi B4A,
Sandi B7A1,
Sandi B7A2,
Sandi B7B1,
Sandi B7B2,
New Sandi 10- Tagihan lainnya*
</t>
  </si>
  <si>
    <t>1. Pos-pos yang tidak akan direklasifikasi ke laba rugi
b. Keuntungan (kerugian) aktuarial program imbalan pasti
e. Pajak Penghasilan terkait pos-pos yang tidak akan direklasifikasi ke laba rugi
2. Pos-pos yang akan direklasifikasi ke laba rugi
b. Keuntungan (kerugian) dari perubahan nilai aset keuangan dalam kelompok tersedia untuk dijual
e. Pajak Penghasilan terkait pos-pos yang akan direklasifikasi ke laba rugi
2. Pendapatan Komprehensif Lain tahun berjalan  - net pajak penghasilan terkait
3. Total Laba Komprehensif Tahun Berjalan
4. Laba yang dapat diatribusikan kepada: - a. Pemilik
4. Laba yang dapat diatribusikan kepada: - c. Total Laba Tahun Berjalan
5. Total Laba Komprehensif Yang Dapat Diatribusikan Kepada: - a. Pemilik
5. Total Laba Komprehensif Yang Dapat Diatribusikan Kepada: - c. Total Laba Tahun Berjalan</t>
  </si>
  <si>
    <t>Only for : Additional new items from OJK update: identify new mapping and data source
Maintenance screen for mapping in these forms (compare to LBU)
Gap between LKPBU form and LBU form.
19.  Pendapatan (kerugian) komprehensif lainnya-b. Keuntungan (kerugian) dari perubahan nilai aset keuangan dalam kelompok tersedia untuk dijual
19.  Pendapatan (kerugian) komprehensif lainnya-f. Keuntungan (kerugian) aktuarial program imbalan pasti
19.  Pendapatan (kerugian) komprehensif lainnya-g. Pajak penghasilan terkait dengan laba komprehensif lain</t>
  </si>
  <si>
    <t>Only for : Additional new items from OJK update: identify new mapping and data source
Maintenance screen for mapping in these forms (compare to LBU)
Gap between LKPBU form and LBU form. 
19.  Pendapatan (kerugian) komprehensif lainnya-b. Keuntungan (kerugian) dari perubahan nilai aset keuangan dalam kelompok tersedia untuk dijual
19.  Pendapatan (kerugian) komprehensif lainnya-f. Keuntungan (kerugian) aktuarial program imbalan pasti
19.  Pendapatan (kerugian) komprehensif lainnya-g. Pajak penghasilan terkait dengan laba komprehensif lain</t>
  </si>
  <si>
    <t>Only for Additional new items from OJK update: identify new mapping and data source
Maintenance screen for mapping in these forms (compare to LBU)
Gap between LKPBU form and LBU form.
1. Pos-pos yang tidak akan direklasifikasi ke laba rugi
b. Keuntungan (kerugian) aktuarial program imbalan pasti
e. Pajak Penghasilan terkait pos-pos yang tidak akan direklasifikasi ke laba rugi
2. Pos-pos yang akan direklasifikasi ke laba rugi
b. Keuntungan (kerugian) dari perubahan nilai aset keuangan dalam kelompok tersedia untuk dijual
e. Pajak Penghasilan terkait pos-pos yang akan direklasifikasi ke laba rugi
PENGHASILAN KOMPREHENSIF LAIN TAHUN BERJALAN - NET PAJAK PENGHASILAN TERKAIT
TOTAL LABA (RUGI) KOMPREHENSIF TAHUN BERJALAN</t>
  </si>
  <si>
    <t>Only add new parameter Form for PPA and CKPN</t>
  </si>
  <si>
    <t>any request that beyond of detail Scope CR</t>
  </si>
  <si>
    <t>Scope /Assumption</t>
  </si>
  <si>
    <t>For LBU form 7, you only considered for “Jenis” without considered the interest rate”
The following are Jenis Code in LBU form 7 which reported in LBBU form 12 as interest bearing:
042 SBI
043 BONDS
055 Acceptance Export Bills
057 Acceptance Export Bills
059 Acceptance Export Bills
082 BONDS
083 BONDS
086 BONDS
087 BONDS
044 SBI
061 BONDS</t>
  </si>
  <si>
    <t>Replace formula for sandi 20790, 20700, 20600</t>
  </si>
  <si>
    <t>Replace formula for sandi 40100, 40200</t>
  </si>
  <si>
    <t>Replace formula for sandi 50100, 50130, 50132</t>
  </si>
  <si>
    <t>Add form f0042 to line 17,22</t>
  </si>
  <si>
    <t>Add product LC to line 38</t>
  </si>
  <si>
    <t>Add unused LC to line 72</t>
  </si>
  <si>
    <t>Remove net off for line 27, and line 18</t>
  </si>
  <si>
    <t>only detail that already elaborate on enhancement field</t>
  </si>
  <si>
    <t>any request that not listed on enhancement field</t>
  </si>
  <si>
    <t>Detail No</t>
  </si>
  <si>
    <t>LBBU</t>
  </si>
  <si>
    <t>Total TORR Mandays :</t>
  </si>
  <si>
    <t>Total Finance Mandays :</t>
  </si>
  <si>
    <t>LBU</t>
  </si>
  <si>
    <t>LHBU</t>
  </si>
  <si>
    <t>LKPBU</t>
  </si>
  <si>
    <t>CF Data(V+)</t>
  </si>
  <si>
    <t>Evaluate</t>
  </si>
  <si>
    <t>ToRR : Harus ada buffer untuk scenario baru di budget proporsal</t>
  </si>
  <si>
    <t>counterparty_cat in ('002','003')</t>
  </si>
  <si>
    <t>10-May-2016</t>
  </si>
  <si>
    <t>UAT</t>
  </si>
  <si>
    <t>PM</t>
  </si>
  <si>
    <t>QA</t>
  </si>
  <si>
    <t>TL</t>
  </si>
  <si>
    <t>BA</t>
  </si>
  <si>
    <t>SIT</t>
  </si>
  <si>
    <t>Role</t>
  </si>
  <si>
    <t>Elapsed time (Week)</t>
  </si>
  <si>
    <t>Month1</t>
  </si>
  <si>
    <t>Month2</t>
  </si>
  <si>
    <t>Month3</t>
  </si>
  <si>
    <t>Month4</t>
  </si>
  <si>
    <t>Month5</t>
  </si>
  <si>
    <t>MD</t>
  </si>
  <si>
    <t>ETL</t>
  </si>
  <si>
    <t>.NET</t>
  </si>
  <si>
    <t>Overhead</t>
  </si>
  <si>
    <t>Total</t>
  </si>
  <si>
    <t>Scope Of Work :</t>
  </si>
  <si>
    <t>Project Setup / Kick Off</t>
  </si>
  <si>
    <t>Impact Analysis and User Requirement</t>
  </si>
  <si>
    <t>Dev</t>
  </si>
  <si>
    <t>Detail Enhancement</t>
  </si>
  <si>
    <t>WEB</t>
  </si>
  <si>
    <t>No.</t>
  </si>
  <si>
    <t>Activities</t>
  </si>
  <si>
    <t>Remarks/Deliverables</t>
  </si>
  <si>
    <t>Man (PM + TL + DV)</t>
  </si>
  <si>
    <t>Days</t>
  </si>
  <si>
    <t>Requirement and Analysis</t>
  </si>
  <si>
    <t>Gather requirements from user</t>
  </si>
  <si>
    <t xml:space="preserve">Analyze existing process </t>
  </si>
  <si>
    <t>Design</t>
  </si>
  <si>
    <t>LPS SCV - A2 Tingkat Bunga</t>
  </si>
  <si>
    <t>Design Data Model and Table Mapping (Source, Destination and Rule)</t>
  </si>
  <si>
    <t>Development</t>
  </si>
  <si>
    <t>SQL :
Add new logic for tingkat bunga field</t>
  </si>
  <si>
    <t>Test Result</t>
  </si>
  <si>
    <t>- Upload Cashback parameter
- Run the process through Web Application
- Check Tingkat Bunga value 
- SIT Technical Documentation</t>
  </si>
  <si>
    <t>UAT Sign Off</t>
  </si>
  <si>
    <t>MIGRATION</t>
  </si>
  <si>
    <t>Migration</t>
  </si>
  <si>
    <t>UVT</t>
  </si>
  <si>
    <t>Total mandays</t>
  </si>
  <si>
    <t xml:space="preserve">Out Scope : </t>
  </si>
  <si>
    <t>SIT (System Integration Test)</t>
  </si>
  <si>
    <t>UAT (User Acceptance Test)</t>
  </si>
  <si>
    <t>Legend</t>
  </si>
  <si>
    <t xml:space="preserve">Milestone </t>
  </si>
  <si>
    <t>Check</t>
  </si>
  <si>
    <t>Assumption :</t>
  </si>
  <si>
    <t>Below are several assumptions for Regulatory Report implementation project:</t>
  </si>
  <si>
    <t>* Bank has dedicated resource for every module who understands the requirements.</t>
  </si>
  <si>
    <t>* Bank will provide real data in UAT environment to reflect the real condition and real cases.</t>
  </si>
  <si>
    <t>* All project activity including training and rollout activity will be held in Jakarta office."</t>
  </si>
  <si>
    <t>* Bank’s project co-coordinators (Business/IT) will provide all the required data and the technical information (structure &amp; mapping) about the source system. This should be made available within 2 weeks of start of the project.</t>
  </si>
  <si>
    <t>* Laporan pelaksanaan pekerjaan</t>
  </si>
  <si>
    <t>* Berita acara penyelesaian pekerjaan</t>
  </si>
  <si>
    <t>* Berita acara serah terima pekerjaan</t>
  </si>
  <si>
    <t>* Pembubaran tim proyek"</t>
  </si>
  <si>
    <t>Project Closure :</t>
  </si>
  <si>
    <t>* NTT will deliver standard Regla web application. Any enhancement to comply bank’s security and policy will be out of scope and treated as change request.</t>
  </si>
  <si>
    <t>Ureq</t>
  </si>
  <si>
    <t>Milestone</t>
  </si>
  <si>
    <t>PD</t>
  </si>
  <si>
    <t># Res</t>
  </si>
  <si>
    <t>MDs</t>
  </si>
  <si>
    <t>Remarks</t>
  </si>
  <si>
    <t>Project Setup</t>
  </si>
  <si>
    <t>SAT, OAT, Migration</t>
  </si>
  <si>
    <t>NET</t>
  </si>
  <si>
    <t>^ Any request that not listed on enhancement field
^ any additional data source
^ any additional changes logic</t>
  </si>
  <si>
    <t>* Support user in doing User Acceptance Test (UAT) using 2 (two) reporting period data and maximum 2 cycle testing for UAT</t>
  </si>
  <si>
    <t>Rate</t>
  </si>
  <si>
    <t>Cost</t>
  </si>
  <si>
    <t>Overday</t>
  </si>
  <si>
    <t>OT + Meal Allowance + Transport</t>
  </si>
  <si>
    <t>SAT, OAT, Migration UAT</t>
  </si>
  <si>
    <t>LV PROD</t>
  </si>
  <si>
    <t>LV UAT</t>
  </si>
  <si>
    <t>Deployment / Migration UAT</t>
  </si>
  <si>
    <t>Deployment / Migration Go Live</t>
  </si>
  <si>
    <t>Deployment UAT</t>
  </si>
  <si>
    <t>Deployment / Go Live</t>
  </si>
  <si>
    <t>Buffer</t>
  </si>
  <si>
    <t>Quo</t>
  </si>
  <si>
    <r>
      <t>Enhance to the reporting form as a result of : Enhancement CCS, CSO BMPK Detail Data LLLOJK &amp; LLL Assessment Report (</t>
    </r>
    <r>
      <rPr>
        <b/>
        <sz val="10"/>
        <color theme="1"/>
        <rFont val="Calibri"/>
        <family val="2"/>
        <scheme val="minor"/>
      </rPr>
      <t>paste picture on cell AE47</t>
    </r>
    <r>
      <rPr>
        <sz val="10"/>
        <color theme="1"/>
        <rFont val="Calibri"/>
        <family val="2"/>
        <scheme val="minor"/>
      </rPr>
      <t>)</t>
    </r>
  </si>
  <si>
    <t>Regla RR - Module LLLOJK - Enhancement CCS, CSO BMPK Detail Data LLLOJK &amp; LLL Assessment Report</t>
  </si>
  <si>
    <t>Antasena</t>
  </si>
  <si>
    <t>DEV</t>
  </si>
  <si>
    <t>Code Review</t>
  </si>
  <si>
    <t>UT</t>
  </si>
  <si>
    <t>Doc</t>
  </si>
  <si>
    <t>Agunan Kredit/Pembiayaan (AKR01)</t>
  </si>
  <si>
    <t>Penambahan dimensi “Nilai Agunan yang Diikat ke Fasilitas”</t>
  </si>
  <si>
    <t>Kredit/Pembiayaan (KRP01)</t>
  </si>
  <si>
    <t>Penambahan dimensi "Pembiayaan Inklusif"</t>
  </si>
  <si>
    <t>CPRAM</t>
  </si>
  <si>
    <t>New Data Source - Nilai Agunan Diikat ke Fasilitas</t>
  </si>
  <si>
    <t>CPRAM/RRR</t>
  </si>
  <si>
    <t>Penambahan data source baru untuk kolom Nilai Agunan yang Diikat ke Fasilitas</t>
  </si>
  <si>
    <t>Penambahan data source baru untuk kolom Pembiayaan Inclusif</t>
  </si>
  <si>
    <t>New Data Source - Pembiayaan Inclusif</t>
  </si>
  <si>
    <t>Tidak tersedia kolom norek pada source baru
Pengenal pembayaran inclusif adalah berdasarkan limitID
Mapping akan sama dengan mapping kolom “Pembiayaan Inclusif” pada form SYM, SBT pada file 5 Module Antasena - Enhancement NEW LBUT - RRR</t>
  </si>
  <si>
    <t xml:space="preserve">1. Penambahan kolom 'Nilai Agunan yang Diikat ke Fasilitas' pada table form AKR01
2. Penambahan kolom 'Nilai Agunan yang Diikat ke Fasilitas' pada screen form AKR01
3. Penambahan kolom 'Nilai Agunan yang Diikat ke Fasilitas' pada textfile form AKR01
4. Penambahan Validasi 'Nilai Agunan yang Diikat ke Fasilitas' masing-masing
'Nomor Agunan' tidak boleh lebih dari 'Nilai Agunan' yang
dilaporkan di Informasi Agunan (agn01)
5. Penambahan transformasi proses baru untuk perhitungan  'Nilai Agunan yang Diikat ke Fasilitas' untuk keseluruhan form
6. Penambahan table dan screen hasil perhitungan 'Nilai Agunan yang Diikat ke Fasilitas' 
7. Penambahan transformasi baru untuk Penambahan transformasi proses baru untuk update  'Nilai Agunan yang Diikat ke Fasilitas' pada form AKR01
8. Tidak ada perubahan mapping untuk form Agunan (agn01)
</t>
  </si>
  <si>
    <t>1. Penambahan kolom 'Pembiayaan Inclusif' pada table form KRP01
2. Penambahan kolom 'Pembiayaan Inclusif' pada screen form KRP01
3. Penambahan kolom 'Pembiayaan Inclusif' pada textfile form KRP01
4. Penambahan mapping  'Pembiayaan Inclusif' pada form KRP01
5. Penambahan transformasi proses baru untuk perhitungan  'Pembiayaan Inclusif'
6. Penambahan transformasi proses baru untuk update  'Pembiayaan Inclusif' pada form KRP01
7. Penambahan commoncode baru untuk mapping 'Pembiayaan Inclusif'</t>
  </si>
  <si>
    <r>
      <rPr>
        <b/>
        <sz val="11"/>
        <color theme="1"/>
        <rFont val="Calibri"/>
        <family val="2"/>
        <scheme val="minor"/>
      </rPr>
      <t>Penambahan source baru untuk kolom Nilai Agunan yang Diikat ke Fasilitas</t>
    </r>
    <r>
      <rPr>
        <sz val="11"/>
        <color theme="1"/>
        <rFont val="Calibri"/>
        <family val="2"/>
        <scheme val="minor"/>
      </rPr>
      <t xml:space="preserve">
a. Penambahan table untuk data source baru untuk kolom Nilai Agunan yang Diikat ke Fasilitas
b. Penambahan screen untuk data source baru untuk kolom Nilai Agunan yang Diikat ke Fasilitas
c. Penambahan proses upload untuk data source baru untuk kolom Nilai Agunan yang Diikat ke Fasilitas</t>
    </r>
  </si>
  <si>
    <t>File Source berupa excel</t>
  </si>
  <si>
    <t>Tidak tersedia kolom norek pada source baru
Perhitungan prorate untuk Nilai Agunan diikat ke fasilitas berdasarkan CIF, COLL ID, LIMIT ID
Saat ini pada AKR blm ada info limit ID
Mapping akan sama dengan mapping kolom “Nilai Agunan yang Diikat ke Fasilitas” pada form AGA, GAG, ILA, AKA pada file 5 Module Antasena - Enhancement NEW LBUT - RRR</t>
  </si>
  <si>
    <r>
      <rPr>
        <b/>
        <sz val="11"/>
        <color theme="1"/>
        <rFont val="Calibri"/>
        <family val="2"/>
        <scheme val="minor"/>
      </rPr>
      <t>Penambahan data source baru untuk kolom Pembiayaan Inclusif</t>
    </r>
    <r>
      <rPr>
        <sz val="11"/>
        <color theme="1"/>
        <rFont val="Calibri"/>
        <family val="2"/>
        <scheme val="minor"/>
      </rPr>
      <t xml:space="preserve">
Penambahan table untuk data source baru untuk kolom Pembiayaan Inclusif
Penambahan screen untuk data source baru untuk kolom Pembiayaan Inclusif
Penambahan proses upload untuk data source baru untuk kolom Pembiayaan Inclusif</t>
    </r>
  </si>
  <si>
    <t>File source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</si>
</sst>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0.0"/>
    <numFmt numFmtId="167" formatCode="&quot;Yes&quot;;[Red]&quot;No&quot;"/>
    <numFmt numFmtId="168" formatCode="0.00000"/>
    <numFmt numFmtId="169" formatCode="[&gt;0]General"/>
    <numFmt numFmtId="170" formatCode="0.0000"/>
    <numFmt numFmtId="171" formatCode="0.0000%"/>
    <numFmt numFmtId="172" formatCode="_(* #,##0_);_(* \(#,##0\);_(* &quot;-&quot;??_);_(@_)"/>
    <numFmt numFmtId="173" formatCode="_(* #,##0.0_);_(* \(#,##0.0\);_(* &quot;-&quot;??_);_(@_)"/>
    <numFmt numFmtId="174" formatCode="0.000"/>
  </numFmts>
  <fonts count="27" x14ac:knownFonts="1">
    <font>
      <sz val="11"/>
      <color theme="1"/>
      <name val="Calibri"/>
      <family val="2"/>
      <scheme val="minor"/>
    </font>
    <font>
      <sz val="10"/>
      <color indexed="10"/>
      <name val="Arial"/>
      <family val="2"/>
    </font>
    <font>
      <sz val="10"/>
      <name val="Arial"/>
      <family val="2"/>
    </font>
    <font>
      <sz val="11"/>
      <color theme="0"/>
      <name val="Calibri"/>
      <family val="2"/>
      <scheme val="minor"/>
    </font>
    <font>
      <b/>
      <sz val="11"/>
      <color theme="1"/>
      <name val="Calibri"/>
      <family val="2"/>
      <scheme val="minor"/>
    </font>
    <font>
      <b/>
      <i/>
      <sz val="11"/>
      <color theme="1"/>
      <name val="Calibri"/>
      <family val="2"/>
      <scheme val="minor"/>
    </font>
    <font>
      <b/>
      <i/>
      <sz val="14"/>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sz val="11"/>
      <color theme="1"/>
      <name val="Calibri"/>
      <family val="2"/>
      <scheme val="minor"/>
    </font>
    <font>
      <sz val="8"/>
      <color theme="1"/>
      <name val="Calibri"/>
      <family val="2"/>
      <scheme val="minor"/>
    </font>
    <font>
      <sz val="10"/>
      <color rgb="FFFFFFFF"/>
      <name val="Calibri"/>
      <family val="2"/>
    </font>
    <font>
      <sz val="10"/>
      <color theme="1"/>
      <name val="Times New Roman"/>
      <family val="1"/>
    </font>
    <font>
      <b/>
      <sz val="10"/>
      <color rgb="FF000000"/>
      <name val="Calibri"/>
      <family val="2"/>
    </font>
    <font>
      <sz val="10"/>
      <color rgb="FF000000"/>
      <name val="Calibri"/>
      <family val="2"/>
    </font>
    <font>
      <b/>
      <i/>
      <sz val="10"/>
      <color theme="1"/>
      <name val="Calibri"/>
      <family val="2"/>
    </font>
    <font>
      <sz val="10"/>
      <color theme="1"/>
      <name val="Calibri"/>
      <family val="2"/>
    </font>
    <font>
      <i/>
      <sz val="10"/>
      <color rgb="FF000000"/>
      <name val="Calibri"/>
      <family val="2"/>
    </font>
    <font>
      <sz val="10"/>
      <name val="Calibri"/>
      <family val="2"/>
      <scheme val="minor"/>
    </font>
    <font>
      <b/>
      <sz val="10"/>
      <name val="Calibri"/>
      <family val="2"/>
      <scheme val="minor"/>
    </font>
    <font>
      <u/>
      <sz val="11"/>
      <color theme="10"/>
      <name val="Calibri"/>
      <family val="2"/>
      <scheme val="minor"/>
    </font>
    <font>
      <u/>
      <sz val="11"/>
      <name val="Calibri"/>
      <family val="2"/>
      <scheme val="minor"/>
    </font>
    <font>
      <b/>
      <sz val="11"/>
      <color theme="0"/>
      <name val="Calibri"/>
      <family val="2"/>
      <scheme val="minor"/>
    </font>
    <font>
      <sz val="11"/>
      <name val="Calibri"/>
      <family val="2"/>
      <scheme val="minor"/>
    </font>
    <font>
      <sz val="11"/>
      <color rgb="FF000000"/>
      <name val="Calibri"/>
      <family val="2"/>
      <scheme val="minor"/>
    </font>
    <font>
      <b/>
      <sz val="11"/>
      <color rgb="FFFFFFFF"/>
      <name val="Calibri"/>
      <family val="2"/>
      <scheme val="minor"/>
    </font>
  </fonts>
  <fills count="2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42"/>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64"/>
      </patternFill>
    </fill>
    <fill>
      <patternFill patternType="solid">
        <fgColor theme="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0"/>
        <bgColor indexed="64"/>
      </patternFill>
    </fill>
    <fill>
      <patternFill patternType="solid">
        <fgColor rgb="FF7030A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0000"/>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59999389629810485"/>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style="thin">
        <color indexed="64"/>
      </top>
      <bottom/>
      <diagonal/>
    </border>
    <border>
      <left/>
      <right/>
      <top style="thin">
        <color theme="0"/>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theme="0"/>
      </right>
      <top style="thin">
        <color indexed="64"/>
      </top>
      <bottom style="thin">
        <color indexed="64"/>
      </bottom>
      <diagonal/>
    </border>
    <border>
      <left style="thin">
        <color theme="0"/>
      </left>
      <right/>
      <top style="thin">
        <color indexed="64"/>
      </top>
      <bottom/>
      <diagonal/>
    </border>
    <border>
      <left style="thin">
        <color theme="0"/>
      </left>
      <right/>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theme="0"/>
      </left>
      <right style="thin">
        <color theme="0"/>
      </right>
      <top/>
      <bottom style="thin">
        <color indexed="64"/>
      </bottom>
      <diagonal/>
    </border>
    <border>
      <left style="thin">
        <color theme="0"/>
      </left>
      <right/>
      <top style="thin">
        <color indexed="64"/>
      </top>
      <bottom style="thin">
        <color indexed="64"/>
      </bottom>
      <diagonal/>
    </border>
    <border>
      <left/>
      <right/>
      <top style="thin">
        <color theme="1"/>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s>
  <cellStyleXfs count="56">
    <xf numFmtId="0" fontId="0" fillId="0" borderId="0"/>
    <xf numFmtId="0" fontId="3" fillId="10" borderId="0" applyNumberFormat="0" applyBorder="0" applyAlignment="0" applyProtection="0"/>
    <xf numFmtId="3" fontId="1" fillId="2" borderId="1" applyFont="0" applyFill="0" applyProtection="0">
      <alignment horizontal="right"/>
    </xf>
    <xf numFmtId="0" fontId="2" fillId="3" borderId="1" applyNumberFormat="0" applyFont="0" applyBorder="0" applyAlignment="0" applyProtection="0">
      <alignment horizontal="center"/>
    </xf>
    <xf numFmtId="3" fontId="2" fillId="4" borderId="1" applyFont="0" applyProtection="0">
      <alignment horizontal="right"/>
    </xf>
    <xf numFmtId="10" fontId="2" fillId="4" borderId="1" applyFont="0" applyProtection="0">
      <alignment horizontal="right"/>
    </xf>
    <xf numFmtId="9" fontId="2" fillId="4" borderId="1" applyFont="0" applyProtection="0">
      <alignment horizontal="right"/>
    </xf>
    <xf numFmtId="0" fontId="2" fillId="4" borderId="2" applyNumberFormat="0" applyFont="0" applyBorder="0" applyAlignment="0" applyProtection="0">
      <alignment horizontal="left"/>
    </xf>
    <xf numFmtId="0" fontId="2" fillId="5" borderId="1" applyFont="0" applyAlignment="0">
      <protection locked="0"/>
    </xf>
    <xf numFmtId="3" fontId="2" fillId="5" borderId="1" applyFont="0">
      <alignment horizontal="right"/>
      <protection locked="0"/>
    </xf>
    <xf numFmtId="166" fontId="2" fillId="5" borderId="1" applyFont="0">
      <alignment horizontal="right"/>
      <protection locked="0"/>
    </xf>
    <xf numFmtId="10" fontId="2" fillId="5" borderId="1" applyFont="0">
      <alignment horizontal="right"/>
      <protection locked="0"/>
    </xf>
    <xf numFmtId="9" fontId="2" fillId="5" borderId="3" applyFont="0">
      <alignment horizontal="right"/>
      <protection locked="0"/>
    </xf>
    <xf numFmtId="0" fontId="2" fillId="5" borderId="1" applyFont="0">
      <alignment horizontal="center" wrapText="1"/>
      <protection locked="0"/>
    </xf>
    <xf numFmtId="49" fontId="2" fillId="5" borderId="1" applyFont="0" applyAlignment="0">
      <protection locked="0"/>
    </xf>
    <xf numFmtId="0" fontId="2" fillId="0" borderId="0"/>
    <xf numFmtId="0" fontId="2" fillId="2" borderId="0" applyFont="0" applyBorder="0"/>
    <xf numFmtId="0" fontId="2" fillId="0" borderId="0"/>
    <xf numFmtId="3" fontId="2" fillId="6" borderId="1">
      <alignment horizontal="right"/>
      <protection locked="0"/>
    </xf>
    <xf numFmtId="166" fontId="2" fillId="6" borderId="1">
      <alignment horizontal="right"/>
      <protection locked="0"/>
    </xf>
    <xf numFmtId="10" fontId="2" fillId="6" borderId="1" applyFont="0">
      <alignment horizontal="right"/>
      <protection locked="0"/>
    </xf>
    <xf numFmtId="9" fontId="2" fillId="6" borderId="1">
      <alignment horizontal="right"/>
      <protection locked="0"/>
    </xf>
    <xf numFmtId="0" fontId="2" fillId="6" borderId="1">
      <alignment horizontal="center" wrapText="1"/>
    </xf>
    <xf numFmtId="0" fontId="2" fillId="6" borderId="1" applyNumberFormat="0" applyFont="0">
      <alignment horizontal="center" wrapText="1"/>
      <protection locked="0"/>
    </xf>
    <xf numFmtId="167" fontId="2" fillId="2" borderId="1">
      <alignment horizontal="center"/>
    </xf>
    <xf numFmtId="3" fontId="2" fillId="2" borderId="1" applyFont="0">
      <alignment horizontal="right"/>
    </xf>
    <xf numFmtId="168" fontId="2" fillId="2" borderId="1" applyFont="0">
      <alignment horizontal="right"/>
    </xf>
    <xf numFmtId="0" fontId="2" fillId="2" borderId="1" applyFont="0">
      <alignment horizontal="right"/>
    </xf>
    <xf numFmtId="166" fontId="2" fillId="2" borderId="1" applyFont="0">
      <alignment horizontal="right"/>
    </xf>
    <xf numFmtId="10" fontId="2" fillId="2" borderId="1" applyFont="0">
      <alignment horizontal="right"/>
    </xf>
    <xf numFmtId="9" fontId="2" fillId="2" borderId="1" applyFont="0">
      <alignment horizontal="right"/>
    </xf>
    <xf numFmtId="169" fontId="2" fillId="2" borderId="1" applyFont="0">
      <alignment horizontal="center" wrapText="1"/>
    </xf>
    <xf numFmtId="1" fontId="2" fillId="7" borderId="1" applyFont="0">
      <alignment horizontal="right"/>
    </xf>
    <xf numFmtId="170" fontId="2" fillId="7" borderId="1" applyFont="0"/>
    <xf numFmtId="9" fontId="2" fillId="7" borderId="1" applyFont="0">
      <alignment horizontal="right"/>
    </xf>
    <xf numFmtId="171" fontId="2" fillId="7" borderId="1" applyFont="0">
      <alignment horizontal="right"/>
    </xf>
    <xf numFmtId="10" fontId="2" fillId="7" borderId="1" applyFont="0">
      <alignment horizontal="right"/>
    </xf>
    <xf numFmtId="0" fontId="2" fillId="7" borderId="1" applyFont="0">
      <alignment horizontal="center" wrapText="1"/>
    </xf>
    <xf numFmtId="49" fontId="2" fillId="7" borderId="1" applyFont="0"/>
    <xf numFmtId="170" fontId="2" fillId="8" borderId="1" applyFont="0"/>
    <xf numFmtId="9" fontId="2" fillId="8" borderId="1" applyFont="0">
      <alignment horizontal="right"/>
    </xf>
    <xf numFmtId="170" fontId="2" fillId="9" borderId="1" applyFont="0">
      <alignment horizontal="right"/>
    </xf>
    <xf numFmtId="1" fontId="2" fillId="9" borderId="1" applyFont="0">
      <alignment horizontal="right"/>
    </xf>
    <xf numFmtId="170" fontId="2" fillId="9" borderId="1" applyFont="0"/>
    <xf numFmtId="166" fontId="2" fillId="9" borderId="1" applyFont="0"/>
    <xf numFmtId="10" fontId="2" fillId="9" borderId="1" applyFont="0">
      <alignment horizontal="right"/>
    </xf>
    <xf numFmtId="9" fontId="2" fillId="9" borderId="1" applyFont="0">
      <alignment horizontal="right"/>
    </xf>
    <xf numFmtId="171" fontId="2" fillId="9" borderId="1" applyFont="0">
      <alignment horizontal="right"/>
    </xf>
    <xf numFmtId="10" fontId="2" fillId="9" borderId="4" applyFont="0">
      <alignment horizontal="right"/>
    </xf>
    <xf numFmtId="0" fontId="2" fillId="9" borderId="1" applyFont="0">
      <alignment horizontal="center" wrapText="1"/>
      <protection locked="0"/>
    </xf>
    <xf numFmtId="49" fontId="2" fillId="9" borderId="1" applyFont="0"/>
    <xf numFmtId="0" fontId="2" fillId="0" borderId="0"/>
    <xf numFmtId="43" fontId="10" fillId="0" borderId="0" applyFont="0" applyFill="0" applyBorder="0" applyAlignment="0" applyProtection="0"/>
    <xf numFmtId="0" fontId="21" fillId="0" borderId="0" applyNumberFormat="0" applyFill="0" applyBorder="0" applyAlignment="0" applyProtection="0"/>
    <xf numFmtId="165" fontId="10" fillId="0" borderId="0" applyFont="0" applyFill="0" applyBorder="0" applyAlignment="0" applyProtection="0"/>
    <xf numFmtId="164" fontId="10" fillId="0" borderId="0" applyFont="0" applyFill="0" applyBorder="0" applyAlignment="0" applyProtection="0"/>
  </cellStyleXfs>
  <cellXfs count="263">
    <xf numFmtId="0" fontId="0" fillId="0" borderId="0" xfId="0"/>
    <xf numFmtId="0" fontId="0" fillId="11" borderId="0" xfId="0" applyFill="1" applyAlignment="1">
      <alignment wrapText="1"/>
    </xf>
    <xf numFmtId="0" fontId="4" fillId="11" borderId="0" xfId="0" applyFont="1" applyFill="1" applyAlignment="1">
      <alignment wrapText="1"/>
    </xf>
    <xf numFmtId="0" fontId="4" fillId="0" borderId="0" xfId="0" applyFont="1"/>
    <xf numFmtId="0" fontId="0" fillId="0" borderId="0" xfId="0" applyAlignment="1">
      <alignment wrapText="1"/>
    </xf>
    <xf numFmtId="0" fontId="0" fillId="0" borderId="0" xfId="0" quotePrefix="1"/>
    <xf numFmtId="0" fontId="4" fillId="0" borderId="0" xfId="0" applyFont="1" applyAlignment="1">
      <alignment wrapText="1"/>
    </xf>
    <xf numFmtId="0" fontId="5" fillId="0" borderId="5" xfId="0" applyFont="1" applyBorder="1"/>
    <xf numFmtId="0" fontId="3" fillId="12" borderId="0" xfId="1" applyFill="1"/>
    <xf numFmtId="0" fontId="3" fillId="12" borderId="0" xfId="1" applyFill="1" applyAlignment="1">
      <alignment wrapText="1"/>
    </xf>
    <xf numFmtId="0" fontId="0" fillId="0" borderId="1" xfId="0" applyBorder="1"/>
    <xf numFmtId="0" fontId="0" fillId="0" borderId="1" xfId="0" applyBorder="1" applyAlignment="1">
      <alignment wrapText="1"/>
    </xf>
    <xf numFmtId="0" fontId="0" fillId="0" borderId="6" xfId="0" applyBorder="1"/>
    <xf numFmtId="0" fontId="3" fillId="12" borderId="0" xfId="1" applyFill="1" applyAlignment="1">
      <alignment horizontal="center"/>
    </xf>
    <xf numFmtId="0" fontId="0" fillId="0" borderId="0" xfId="0" applyAlignment="1">
      <alignment horizontal="left" vertical="top" wrapText="1"/>
    </xf>
    <xf numFmtId="0" fontId="6" fillId="0" borderId="5" xfId="0" applyFont="1" applyBorder="1"/>
    <xf numFmtId="0" fontId="3" fillId="12" borderId="0" xfId="0" applyFont="1" applyFill="1"/>
    <xf numFmtId="0" fontId="0" fillId="0" borderId="1" xfId="0" applyBorder="1" applyAlignment="1">
      <alignment horizontal="right"/>
    </xf>
    <xf numFmtId="0" fontId="5" fillId="0" borderId="7" xfId="0" applyFont="1" applyBorder="1"/>
    <xf numFmtId="0" fontId="4" fillId="0" borderId="8" xfId="0" applyFont="1" applyBorder="1"/>
    <xf numFmtId="0" fontId="4" fillId="0" borderId="6" xfId="0" applyFont="1" applyBorder="1"/>
    <xf numFmtId="0" fontId="0" fillId="0" borderId="7" xfId="0" applyBorder="1"/>
    <xf numFmtId="0" fontId="0" fillId="11" borderId="0" xfId="0" applyFill="1"/>
    <xf numFmtId="0" fontId="0" fillId="13" borderId="0" xfId="0" applyFill="1"/>
    <xf numFmtId="0" fontId="0" fillId="13" borderId="0" xfId="0" applyFill="1" applyAlignment="1">
      <alignment wrapText="1"/>
    </xf>
    <xf numFmtId="0" fontId="4" fillId="13" borderId="0" xfId="0" applyFont="1" applyFill="1" applyAlignment="1">
      <alignment wrapText="1"/>
    </xf>
    <xf numFmtId="0" fontId="7" fillId="14" borderId="0" xfId="0" applyFont="1" applyFill="1" applyAlignment="1">
      <alignment horizontal="left"/>
    </xf>
    <xf numFmtId="0" fontId="7" fillId="14" borderId="0" xfId="0" applyFont="1" applyFill="1"/>
    <xf numFmtId="0" fontId="7" fillId="0" borderId="9" xfId="0" applyFont="1" applyBorder="1"/>
    <xf numFmtId="0" fontId="7" fillId="0" borderId="1" xfId="0" applyFont="1" applyBorder="1"/>
    <xf numFmtId="0" fontId="7" fillId="14" borderId="1" xfId="0" applyFont="1" applyFill="1" applyBorder="1"/>
    <xf numFmtId="0" fontId="7" fillId="14" borderId="14" xfId="0" applyFont="1" applyFill="1" applyBorder="1"/>
    <xf numFmtId="0" fontId="7" fillId="14" borderId="0" xfId="0" applyFont="1" applyFill="1" applyAlignment="1">
      <alignment horizontal="center"/>
    </xf>
    <xf numFmtId="0" fontId="8" fillId="14" borderId="0" xfId="0" applyFont="1" applyFill="1" applyAlignment="1">
      <alignment horizontal="center" vertical="center"/>
    </xf>
    <xf numFmtId="173" fontId="7" fillId="14" borderId="0" xfId="52" applyNumberFormat="1" applyFont="1" applyFill="1" applyAlignment="1">
      <alignment horizontal="right" vertical="center"/>
    </xf>
    <xf numFmtId="173" fontId="11" fillId="0" borderId="1" xfId="52" applyNumberFormat="1" applyFont="1" applyFill="1" applyBorder="1" applyAlignment="1">
      <alignment horizontal="right" vertical="center"/>
    </xf>
    <xf numFmtId="0" fontId="7" fillId="14" borderId="18" xfId="0" applyFont="1" applyFill="1" applyBorder="1" applyAlignment="1">
      <alignment horizontal="left" vertical="center"/>
    </xf>
    <xf numFmtId="172" fontId="7" fillId="14" borderId="13" xfId="52" applyNumberFormat="1" applyFont="1" applyFill="1" applyBorder="1" applyAlignment="1">
      <alignment horizontal="right" vertical="center"/>
    </xf>
    <xf numFmtId="0" fontId="7" fillId="14" borderId="16" xfId="0" applyFont="1" applyFill="1" applyBorder="1" applyAlignment="1">
      <alignment horizontal="left" vertical="center"/>
    </xf>
    <xf numFmtId="0" fontId="7" fillId="14" borderId="0" xfId="0" applyFont="1" applyFill="1" applyAlignment="1">
      <alignment horizontal="right" vertical="center"/>
    </xf>
    <xf numFmtId="0" fontId="8" fillId="14" borderId="0" xfId="0" applyFont="1" applyFill="1"/>
    <xf numFmtId="0" fontId="7" fillId="11" borderId="26" xfId="0" applyFont="1" applyFill="1" applyBorder="1"/>
    <xf numFmtId="0" fontId="7" fillId="13" borderId="22" xfId="0" applyFont="1" applyFill="1" applyBorder="1"/>
    <xf numFmtId="0" fontId="7" fillId="15" borderId="26" xfId="0" applyFont="1" applyFill="1" applyBorder="1"/>
    <xf numFmtId="0" fontId="7" fillId="16" borderId="26" xfId="0" applyFont="1" applyFill="1" applyBorder="1"/>
    <xf numFmtId="173" fontId="7" fillId="14" borderId="17" xfId="52" applyNumberFormat="1" applyFont="1" applyFill="1" applyBorder="1" applyAlignment="1">
      <alignment horizontal="right" vertical="center"/>
    </xf>
    <xf numFmtId="0" fontId="9" fillId="14" borderId="25" xfId="0" applyFont="1" applyFill="1" applyBorder="1" applyAlignment="1">
      <alignment vertical="center"/>
    </xf>
    <xf numFmtId="0" fontId="7" fillId="14" borderId="17" xfId="0" applyFont="1" applyFill="1" applyBorder="1" applyAlignment="1">
      <alignment horizontal="left" vertical="center"/>
    </xf>
    <xf numFmtId="172" fontId="7" fillId="14" borderId="15" xfId="52" applyNumberFormat="1" applyFont="1" applyFill="1" applyBorder="1" applyAlignment="1">
      <alignment horizontal="right" vertical="center"/>
    </xf>
    <xf numFmtId="173" fontId="7" fillId="14" borderId="18" xfId="52" applyNumberFormat="1" applyFont="1" applyFill="1" applyBorder="1" applyAlignment="1">
      <alignment horizontal="right" vertical="center"/>
    </xf>
    <xf numFmtId="43" fontId="7" fillId="14" borderId="12" xfId="52" applyFont="1" applyFill="1" applyBorder="1" applyAlignment="1">
      <alignment horizontal="right" vertical="center"/>
    </xf>
    <xf numFmtId="173" fontId="9" fillId="14" borderId="25" xfId="0" applyNumberFormat="1" applyFont="1" applyFill="1" applyBorder="1" applyAlignment="1">
      <alignment vertical="center"/>
    </xf>
    <xf numFmtId="172" fontId="9" fillId="13" borderId="24" xfId="0" applyNumberFormat="1" applyFont="1" applyFill="1" applyBorder="1" applyAlignment="1">
      <alignment vertical="center"/>
    </xf>
    <xf numFmtId="172" fontId="11" fillId="0" borderId="1" xfId="52" applyNumberFormat="1" applyFont="1" applyFill="1" applyBorder="1" applyAlignment="1">
      <alignment horizontal="right" vertical="center"/>
    </xf>
    <xf numFmtId="0" fontId="12" fillId="18" borderId="27" xfId="0" applyFont="1" applyFill="1" applyBorder="1" applyAlignment="1">
      <alignment vertical="center"/>
    </xf>
    <xf numFmtId="0" fontId="12" fillId="18" borderId="28" xfId="0" applyFont="1" applyFill="1" applyBorder="1" applyAlignment="1">
      <alignment vertical="center"/>
    </xf>
    <xf numFmtId="43" fontId="7" fillId="0" borderId="0" xfId="52" applyFont="1"/>
    <xf numFmtId="0" fontId="7" fillId="0" borderId="0" xfId="0" applyFont="1"/>
    <xf numFmtId="0" fontId="13" fillId="0" borderId="29" xfId="0" applyFont="1" applyBorder="1"/>
    <xf numFmtId="0" fontId="14" fillId="16" borderId="30" xfId="0" applyFont="1" applyFill="1" applyBorder="1" applyAlignment="1">
      <alignment vertical="center" wrapText="1"/>
    </xf>
    <xf numFmtId="0" fontId="15" fillId="16" borderId="28" xfId="0" applyFont="1" applyFill="1" applyBorder="1" applyAlignment="1">
      <alignment vertical="center" wrapText="1"/>
    </xf>
    <xf numFmtId="0" fontId="15" fillId="16" borderId="31" xfId="0" applyFont="1" applyFill="1" applyBorder="1" applyAlignment="1">
      <alignment vertical="center" wrapText="1"/>
    </xf>
    <xf numFmtId="43" fontId="7" fillId="0" borderId="0" xfId="52" applyFont="1" applyAlignment="1">
      <alignment vertical="center"/>
    </xf>
    <xf numFmtId="0" fontId="7" fillId="0" borderId="0" xfId="0" applyFont="1" applyAlignment="1">
      <alignment vertical="center"/>
    </xf>
    <xf numFmtId="0" fontId="13" fillId="0" borderId="30" xfId="0" applyFont="1" applyBorder="1" applyAlignment="1">
      <alignment wrapText="1"/>
    </xf>
    <xf numFmtId="0" fontId="15" fillId="0" borderId="31" xfId="0" applyFont="1" applyBorder="1" applyAlignment="1">
      <alignment vertical="center" wrapText="1"/>
    </xf>
    <xf numFmtId="0" fontId="13" fillId="0" borderId="1" xfId="0" applyFont="1" applyBorder="1" applyAlignment="1">
      <alignment vertical="center" wrapText="1"/>
    </xf>
    <xf numFmtId="0" fontId="15" fillId="16" borderId="30" xfId="0" applyFont="1" applyFill="1" applyBorder="1" applyAlignment="1">
      <alignment vertical="center" wrapText="1"/>
    </xf>
    <xf numFmtId="0" fontId="13" fillId="0" borderId="32" xfId="0" applyFont="1" applyBorder="1"/>
    <xf numFmtId="0" fontId="13" fillId="0" borderId="1" xfId="0" applyFont="1" applyBorder="1" applyAlignment="1">
      <alignment wrapText="1"/>
    </xf>
    <xf numFmtId="0" fontId="16" fillId="0" borderId="1" xfId="0" applyFont="1" applyBorder="1" applyAlignment="1">
      <alignment vertical="center" wrapText="1"/>
    </xf>
    <xf numFmtId="0" fontId="15" fillId="0" borderId="1" xfId="0" applyFont="1" applyBorder="1" applyAlignment="1">
      <alignment vertical="center" wrapText="1"/>
    </xf>
    <xf numFmtId="0" fontId="17" fillId="0" borderId="1" xfId="0" applyFont="1" applyBorder="1" applyAlignment="1">
      <alignment vertical="center" wrapText="1"/>
    </xf>
    <xf numFmtId="0" fontId="15" fillId="0" borderId="1" xfId="0" quotePrefix="1" applyFont="1" applyBorder="1" applyAlignment="1">
      <alignment vertical="center" wrapText="1"/>
    </xf>
    <xf numFmtId="0" fontId="18" fillId="0" borderId="1" xfId="0" applyFont="1" applyBorder="1" applyAlignment="1">
      <alignment vertical="center" wrapText="1"/>
    </xf>
    <xf numFmtId="0" fontId="14" fillId="16" borderId="31" xfId="0" applyFont="1" applyFill="1" applyBorder="1" applyAlignment="1">
      <alignment vertical="center" wrapText="1"/>
    </xf>
    <xf numFmtId="0" fontId="14" fillId="16" borderId="28" xfId="0" applyFont="1" applyFill="1" applyBorder="1" applyAlignment="1">
      <alignment vertical="center" wrapText="1"/>
    </xf>
    <xf numFmtId="0" fontId="13" fillId="0" borderId="22" xfId="0" applyFont="1" applyBorder="1" applyAlignment="1">
      <alignment vertical="center"/>
    </xf>
    <xf numFmtId="43" fontId="8" fillId="0" borderId="0" xfId="52" applyFont="1"/>
    <xf numFmtId="0" fontId="7" fillId="14" borderId="33" xfId="0" applyFont="1" applyFill="1" applyBorder="1"/>
    <xf numFmtId="0" fontId="7" fillId="14" borderId="34" xfId="0" applyFont="1" applyFill="1" applyBorder="1"/>
    <xf numFmtId="0" fontId="7" fillId="14" borderId="35" xfId="0" applyFont="1" applyFill="1" applyBorder="1"/>
    <xf numFmtId="0" fontId="7" fillId="14" borderId="10" xfId="0" applyFont="1" applyFill="1" applyBorder="1"/>
    <xf numFmtId="0" fontId="7" fillId="14" borderId="23" xfId="0" applyFont="1" applyFill="1" applyBorder="1"/>
    <xf numFmtId="0" fontId="7" fillId="14" borderId="28" xfId="0" applyFont="1" applyFill="1" applyBorder="1"/>
    <xf numFmtId="0" fontId="8" fillId="14" borderId="11" xfId="0" applyFont="1" applyFill="1" applyBorder="1" applyAlignment="1">
      <alignment horizontal="left"/>
    </xf>
    <xf numFmtId="0" fontId="8" fillId="14" borderId="23" xfId="0" applyFont="1" applyFill="1" applyBorder="1"/>
    <xf numFmtId="0" fontId="8" fillId="14" borderId="10" xfId="0" applyFont="1" applyFill="1" applyBorder="1"/>
    <xf numFmtId="0" fontId="7" fillId="14" borderId="19" xfId="0" applyFont="1" applyFill="1" applyBorder="1" applyAlignment="1">
      <alignment horizontal="center"/>
    </xf>
    <xf numFmtId="0" fontId="7" fillId="14" borderId="20" xfId="0" applyFont="1" applyFill="1" applyBorder="1" applyAlignment="1">
      <alignment horizontal="center"/>
    </xf>
    <xf numFmtId="0" fontId="7" fillId="14" borderId="21" xfId="0" applyFont="1" applyFill="1" applyBorder="1" applyAlignment="1">
      <alignment horizontal="center"/>
    </xf>
    <xf numFmtId="0" fontId="7" fillId="14" borderId="37" xfId="0" applyFont="1" applyFill="1" applyBorder="1" applyAlignment="1">
      <alignment horizontal="right" vertical="center"/>
    </xf>
    <xf numFmtId="0" fontId="7" fillId="14" borderId="26" xfId="0" applyFont="1" applyFill="1" applyBorder="1" applyAlignment="1">
      <alignment horizontal="left" vertical="center"/>
    </xf>
    <xf numFmtId="0" fontId="8" fillId="14" borderId="36" xfId="0" applyFont="1" applyFill="1" applyBorder="1"/>
    <xf numFmtId="49" fontId="8" fillId="0" borderId="27" xfId="0" applyNumberFormat="1" applyFont="1" applyBorder="1" applyAlignment="1">
      <alignment horizontal="center"/>
    </xf>
    <xf numFmtId="0" fontId="7" fillId="14" borderId="22" xfId="0" applyFont="1" applyFill="1" applyBorder="1" applyAlignment="1">
      <alignment horizontal="left"/>
    </xf>
    <xf numFmtId="0" fontId="19" fillId="4" borderId="33" xfId="0" applyFont="1" applyFill="1" applyBorder="1"/>
    <xf numFmtId="0" fontId="19" fillId="4" borderId="34" xfId="0" applyFont="1" applyFill="1" applyBorder="1"/>
    <xf numFmtId="0" fontId="19" fillId="4" borderId="35" xfId="0" applyFont="1" applyFill="1" applyBorder="1" applyAlignment="1">
      <alignment horizontal="center"/>
    </xf>
    <xf numFmtId="0" fontId="20" fillId="4" borderId="40" xfId="0" applyFont="1" applyFill="1" applyBorder="1"/>
    <xf numFmtId="0" fontId="20" fillId="4" borderId="41" xfId="0" applyFont="1" applyFill="1" applyBorder="1"/>
    <xf numFmtId="0" fontId="20" fillId="4" borderId="41" xfId="0" applyFont="1" applyFill="1" applyBorder="1" applyAlignment="1">
      <alignment horizontal="center"/>
    </xf>
    <xf numFmtId="0" fontId="20" fillId="4" borderId="31" xfId="0" applyFont="1" applyFill="1" applyBorder="1" applyAlignment="1">
      <alignment horizontal="center"/>
    </xf>
    <xf numFmtId="0" fontId="19" fillId="2" borderId="42" xfId="0" applyFont="1" applyFill="1" applyBorder="1"/>
    <xf numFmtId="0" fontId="19" fillId="2" borderId="39" xfId="0" applyFont="1" applyFill="1" applyBorder="1"/>
    <xf numFmtId="1" fontId="19" fillId="2" borderId="39" xfId="0" applyNumberFormat="1" applyFont="1" applyFill="1" applyBorder="1"/>
    <xf numFmtId="2" fontId="19" fillId="2" borderId="9" xfId="0" applyNumberFormat="1" applyFont="1" applyFill="1" applyBorder="1"/>
    <xf numFmtId="2" fontId="19" fillId="2" borderId="1" xfId="0" applyNumberFormat="1" applyFont="1" applyFill="1" applyBorder="1"/>
    <xf numFmtId="2" fontId="19" fillId="2" borderId="12" xfId="0" applyNumberFormat="1" applyFont="1" applyFill="1" applyBorder="1"/>
    <xf numFmtId="0" fontId="19" fillId="2" borderId="43" xfId="0" applyFont="1" applyFill="1" applyBorder="1"/>
    <xf numFmtId="0" fontId="19" fillId="2" borderId="4" xfId="0" applyFont="1" applyFill="1" applyBorder="1"/>
    <xf numFmtId="1" fontId="19" fillId="2" borderId="4" xfId="0" applyNumberFormat="1" applyFont="1" applyFill="1" applyBorder="1"/>
    <xf numFmtId="2" fontId="19" fillId="2" borderId="13" xfId="0" applyNumberFormat="1" applyFont="1" applyFill="1" applyBorder="1"/>
    <xf numFmtId="0" fontId="19" fillId="2" borderId="43" xfId="0" applyFont="1" applyFill="1" applyBorder="1" applyAlignment="1">
      <alignment horizontal="left"/>
    </xf>
    <xf numFmtId="0" fontId="19" fillId="2" borderId="4" xfId="0" applyFont="1" applyFill="1" applyBorder="1" applyAlignment="1">
      <alignment horizontal="left"/>
    </xf>
    <xf numFmtId="0" fontId="19" fillId="6" borderId="44" xfId="0" applyFont="1" applyFill="1" applyBorder="1"/>
    <xf numFmtId="0" fontId="19" fillId="6" borderId="38" xfId="0" applyFont="1" applyFill="1" applyBorder="1"/>
    <xf numFmtId="1" fontId="20" fillId="6" borderId="38" xfId="0" applyNumberFormat="1" applyFont="1" applyFill="1" applyBorder="1"/>
    <xf numFmtId="2" fontId="20" fillId="6" borderId="15" xfId="0" applyNumberFormat="1" applyFont="1" applyFill="1" applyBorder="1"/>
    <xf numFmtId="2" fontId="19" fillId="2" borderId="9" xfId="0" applyNumberFormat="1" applyFont="1" applyFill="1" applyBorder="1" applyAlignment="1">
      <alignment horizontal="right"/>
    </xf>
    <xf numFmtId="2" fontId="19" fillId="2" borderId="1" xfId="0" applyNumberFormat="1" applyFont="1" applyFill="1" applyBorder="1" applyAlignment="1">
      <alignment horizontal="right"/>
    </xf>
    <xf numFmtId="2" fontId="19" fillId="0" borderId="1" xfId="0" applyNumberFormat="1" applyFont="1" applyBorder="1" applyAlignment="1">
      <alignment horizontal="right"/>
    </xf>
    <xf numFmtId="174" fontId="7" fillId="0" borderId="0" xfId="0" applyNumberFormat="1" applyFont="1"/>
    <xf numFmtId="0" fontId="19" fillId="0" borderId="0" xfId="0" applyFont="1"/>
    <xf numFmtId="0" fontId="20" fillId="0" borderId="0" xfId="0" applyFont="1"/>
    <xf numFmtId="1" fontId="22" fillId="0" borderId="0" xfId="53" applyNumberFormat="1" applyFont="1"/>
    <xf numFmtId="0" fontId="7" fillId="14" borderId="0" xfId="0" applyFont="1" applyFill="1" applyAlignment="1">
      <alignment horizontal="left" wrapText="1"/>
    </xf>
    <xf numFmtId="0" fontId="7" fillId="14" borderId="0" xfId="0" applyFont="1" applyFill="1" applyAlignment="1">
      <alignment wrapText="1"/>
    </xf>
    <xf numFmtId="0" fontId="0" fillId="14" borderId="0" xfId="0" applyFill="1"/>
    <xf numFmtId="0" fontId="7" fillId="0" borderId="18" xfId="0" applyFont="1" applyBorder="1"/>
    <xf numFmtId="0" fontId="7" fillId="0" borderId="12" xfId="0" applyFont="1" applyBorder="1"/>
    <xf numFmtId="0" fontId="7" fillId="14" borderId="13" xfId="0" applyFont="1" applyFill="1" applyBorder="1"/>
    <xf numFmtId="0" fontId="7" fillId="0" borderId="13" xfId="0" applyFont="1" applyBorder="1"/>
    <xf numFmtId="0" fontId="7" fillId="14" borderId="17" xfId="0" applyFont="1" applyFill="1" applyBorder="1"/>
    <xf numFmtId="0" fontId="7" fillId="14" borderId="15" xfId="0" applyFont="1" applyFill="1" applyBorder="1"/>
    <xf numFmtId="0" fontId="7" fillId="14" borderId="16" xfId="0" applyFont="1" applyFill="1" applyBorder="1"/>
    <xf numFmtId="0" fontId="8" fillId="17" borderId="19" xfId="0" applyFont="1" applyFill="1" applyBorder="1" applyAlignment="1">
      <alignment horizontal="center" vertical="center"/>
    </xf>
    <xf numFmtId="0" fontId="8" fillId="17" borderId="21" xfId="0" applyFont="1" applyFill="1" applyBorder="1" applyAlignment="1">
      <alignment horizontal="center"/>
    </xf>
    <xf numFmtId="0" fontId="7" fillId="0" borderId="14" xfId="0" applyFont="1" applyBorder="1"/>
    <xf numFmtId="0" fontId="0" fillId="0" borderId="0" xfId="0" applyAlignment="1">
      <alignment horizontal="center"/>
    </xf>
    <xf numFmtId="0" fontId="8" fillId="14" borderId="1" xfId="0" applyFont="1" applyFill="1" applyBorder="1" applyAlignment="1">
      <alignment horizontal="center" vertical="center"/>
    </xf>
    <xf numFmtId="0" fontId="7" fillId="14" borderId="1" xfId="0" applyFont="1" applyFill="1" applyBorder="1" applyAlignment="1">
      <alignment horizontal="center" vertical="center"/>
    </xf>
    <xf numFmtId="0" fontId="7" fillId="14" borderId="1" xfId="0" applyFont="1" applyFill="1" applyBorder="1" applyAlignment="1">
      <alignment horizontal="center"/>
    </xf>
    <xf numFmtId="164" fontId="7" fillId="14" borderId="1" xfId="55" applyFont="1" applyFill="1" applyBorder="1" applyAlignment="1">
      <alignment horizontal="center"/>
    </xf>
    <xf numFmtId="0" fontId="8" fillId="14" borderId="1" xfId="0" applyFont="1" applyFill="1" applyBorder="1" applyAlignment="1">
      <alignment horizontal="right" vertical="center"/>
    </xf>
    <xf numFmtId="0" fontId="8" fillId="0" borderId="1" xfId="0" applyFont="1" applyBorder="1" applyAlignment="1">
      <alignment horizontal="center"/>
    </xf>
    <xf numFmtId="0" fontId="8" fillId="14" borderId="1" xfId="0" applyFont="1" applyFill="1" applyBorder="1" applyAlignment="1">
      <alignment horizontal="center"/>
    </xf>
    <xf numFmtId="0" fontId="8" fillId="14" borderId="13" xfId="0" applyFont="1" applyFill="1" applyBorder="1" applyAlignment="1">
      <alignment horizontal="center"/>
    </xf>
    <xf numFmtId="0" fontId="8" fillId="0" borderId="16" xfId="0" applyFont="1" applyBorder="1" applyAlignment="1">
      <alignment horizontal="center"/>
    </xf>
    <xf numFmtId="0" fontId="8" fillId="0" borderId="13" xfId="0" applyFont="1" applyBorder="1" applyAlignment="1">
      <alignment horizontal="center"/>
    </xf>
    <xf numFmtId="0" fontId="8" fillId="11" borderId="1" xfId="0" applyFont="1" applyFill="1" applyBorder="1" applyAlignment="1">
      <alignment horizontal="center"/>
    </xf>
    <xf numFmtId="0" fontId="8" fillId="13" borderId="1" xfId="0" applyFont="1" applyFill="1" applyBorder="1" applyAlignment="1">
      <alignment horizontal="center"/>
    </xf>
    <xf numFmtId="0" fontId="7" fillId="19" borderId="26" xfId="0" applyFont="1" applyFill="1" applyBorder="1"/>
    <xf numFmtId="0" fontId="7" fillId="20" borderId="11" xfId="0" applyFont="1" applyFill="1" applyBorder="1"/>
    <xf numFmtId="0" fontId="7" fillId="21" borderId="11" xfId="0" applyFont="1" applyFill="1" applyBorder="1"/>
    <xf numFmtId="0" fontId="8" fillId="22" borderId="16" xfId="0" applyFont="1" applyFill="1" applyBorder="1" applyAlignment="1">
      <alignment horizontal="center"/>
    </xf>
    <xf numFmtId="0" fontId="8" fillId="15" borderId="16" xfId="0" applyFont="1" applyFill="1" applyBorder="1" applyAlignment="1">
      <alignment horizontal="center"/>
    </xf>
    <xf numFmtId="0" fontId="11" fillId="0" borderId="1" xfId="52" applyNumberFormat="1" applyFont="1" applyFill="1" applyBorder="1" applyAlignment="1">
      <alignment horizontal="right" vertical="center"/>
    </xf>
    <xf numFmtId="43" fontId="0" fillId="0" borderId="0" xfId="0" applyNumberFormat="1" applyAlignment="1">
      <alignment horizontal="center"/>
    </xf>
    <xf numFmtId="0" fontId="7" fillId="23" borderId="0" xfId="0" applyFont="1" applyFill="1" applyAlignment="1">
      <alignment horizontal="left"/>
    </xf>
    <xf numFmtId="0" fontId="7" fillId="0" borderId="15" xfId="0" applyFont="1" applyBorder="1"/>
    <xf numFmtId="0" fontId="4" fillId="24" borderId="0" xfId="0" applyFont="1" applyFill="1" applyAlignment="1">
      <alignment horizontal="center"/>
    </xf>
    <xf numFmtId="0" fontId="4" fillId="24" borderId="0" xfId="0" applyFont="1" applyFill="1"/>
    <xf numFmtId="0" fontId="7" fillId="0" borderId="46" xfId="0" applyFont="1" applyBorder="1"/>
    <xf numFmtId="0" fontId="7" fillId="14" borderId="2" xfId="0" applyFont="1" applyFill="1" applyBorder="1"/>
    <xf numFmtId="0" fontId="8" fillId="16" borderId="44" xfId="0" applyFont="1" applyFill="1" applyBorder="1" applyAlignment="1">
      <alignment horizontal="center"/>
    </xf>
    <xf numFmtId="0" fontId="0" fillId="24" borderId="0" xfId="0" applyFill="1"/>
    <xf numFmtId="43" fontId="0" fillId="0" borderId="0" xfId="52" applyFont="1"/>
    <xf numFmtId="43" fontId="19" fillId="0" borderId="0" xfId="0" applyNumberFormat="1" applyFont="1"/>
    <xf numFmtId="1" fontId="7" fillId="14" borderId="28" xfId="0" applyNumberFormat="1" applyFont="1" applyFill="1" applyBorder="1"/>
    <xf numFmtId="0" fontId="23" fillId="12" borderId="1" xfId="0" applyFont="1" applyFill="1" applyBorder="1" applyAlignment="1">
      <alignment horizontal="center" vertical="center"/>
    </xf>
    <xf numFmtId="0" fontId="7" fillId="0" borderId="2" xfId="0" applyFont="1" applyBorder="1"/>
    <xf numFmtId="0" fontId="7" fillId="0" borderId="39" xfId="0" applyFont="1" applyBorder="1"/>
    <xf numFmtId="0" fontId="7" fillId="14" borderId="4" xfId="0" applyFont="1" applyFill="1" applyBorder="1"/>
    <xf numFmtId="0" fontId="7" fillId="14" borderId="38" xfId="0" applyFont="1" applyFill="1" applyBorder="1"/>
    <xf numFmtId="0" fontId="7" fillId="0" borderId="16" xfId="0" applyFont="1" applyBorder="1"/>
    <xf numFmtId="0" fontId="0" fillId="0" borderId="17" xfId="0" applyBorder="1"/>
    <xf numFmtId="0" fontId="0" fillId="0" borderId="14" xfId="0" applyBorder="1"/>
    <xf numFmtId="0" fontId="7" fillId="0" borderId="0" xfId="0" applyFont="1" applyAlignment="1">
      <alignment horizontal="left"/>
    </xf>
    <xf numFmtId="0" fontId="8" fillId="0" borderId="0" xfId="0" applyFont="1"/>
    <xf numFmtId="43" fontId="4" fillId="11" borderId="0" xfId="52" applyFont="1" applyFill="1"/>
    <xf numFmtId="0" fontId="23" fillId="12" borderId="2" xfId="0" applyFont="1" applyFill="1" applyBorder="1" applyAlignment="1">
      <alignment horizontal="center" vertical="center"/>
    </xf>
    <xf numFmtId="0" fontId="23" fillId="12" borderId="52" xfId="0" applyFont="1" applyFill="1" applyBorder="1" applyAlignment="1">
      <alignment horizontal="center" vertical="center"/>
    </xf>
    <xf numFmtId="0" fontId="23" fillId="12" borderId="54" xfId="0" applyFont="1" applyFill="1" applyBorder="1" applyAlignment="1">
      <alignment horizontal="center" vertical="center"/>
    </xf>
    <xf numFmtId="0" fontId="23" fillId="12" borderId="59" xfId="0" applyFont="1" applyFill="1" applyBorder="1" applyAlignment="1">
      <alignment horizontal="center" vertical="center"/>
    </xf>
    <xf numFmtId="0" fontId="23" fillId="12" borderId="5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3" xfId="0" applyBorder="1" applyAlignment="1">
      <alignment horizontal="left" vertical="center"/>
    </xf>
    <xf numFmtId="0" fontId="0" fillId="0" borderId="64" xfId="0" applyBorder="1" applyAlignment="1">
      <alignment horizontal="left" vertical="top"/>
    </xf>
    <xf numFmtId="0" fontId="24" fillId="0" borderId="64" xfId="0" applyFont="1" applyBorder="1" applyAlignment="1">
      <alignment horizontal="left" vertical="top"/>
    </xf>
    <xf numFmtId="0" fontId="0" fillId="0" borderId="64" xfId="0" applyBorder="1" applyAlignment="1">
      <alignment horizontal="left" vertical="top" wrapText="1"/>
    </xf>
    <xf numFmtId="0" fontId="0" fillId="0" borderId="64" xfId="0" quotePrefix="1" applyBorder="1" applyAlignment="1">
      <alignment wrapText="1"/>
    </xf>
    <xf numFmtId="0" fontId="0" fillId="0" borderId="64" xfId="0" applyBorder="1"/>
    <xf numFmtId="0" fontId="0" fillId="0" borderId="64" xfId="0" applyBorder="1" applyAlignment="1">
      <alignment horizontal="left" vertical="center"/>
    </xf>
    <xf numFmtId="0" fontId="0" fillId="0" borderId="64" xfId="0" applyBorder="1" applyAlignment="1">
      <alignment horizontal="left" vertical="center" wrapText="1"/>
    </xf>
    <xf numFmtId="0" fontId="0" fillId="0" borderId="64" xfId="0" applyBorder="1" applyAlignment="1">
      <alignment horizontal="left"/>
    </xf>
    <xf numFmtId="0" fontId="0" fillId="0" borderId="64" xfId="0" applyBorder="1" applyAlignment="1">
      <alignment wrapText="1"/>
    </xf>
    <xf numFmtId="0" fontId="0" fillId="0" borderId="64" xfId="0" applyBorder="1" applyAlignment="1">
      <alignment horizontal="center" vertical="center"/>
    </xf>
    <xf numFmtId="0" fontId="0" fillId="0" borderId="64" xfId="0" applyBorder="1" applyAlignment="1">
      <alignment vertical="center"/>
    </xf>
    <xf numFmtId="0" fontId="0" fillId="0" borderId="64" xfId="0" quotePrefix="1" applyBorder="1" applyAlignment="1">
      <alignment horizontal="left" vertical="top" wrapText="1"/>
    </xf>
    <xf numFmtId="0" fontId="0" fillId="0" borderId="64" xfId="0" applyBorder="1" applyAlignment="1">
      <alignment vertical="center" wrapText="1"/>
    </xf>
    <xf numFmtId="0" fontId="25" fillId="0" borderId="64" xfId="0" applyFont="1" applyBorder="1" applyAlignment="1">
      <alignment horizontal="left" vertical="top" wrapText="1"/>
    </xf>
    <xf numFmtId="0" fontId="25" fillId="0" borderId="64" xfId="0" quotePrefix="1" applyFont="1" applyBorder="1" applyAlignment="1">
      <alignment horizontal="left" vertical="top" wrapText="1"/>
    </xf>
    <xf numFmtId="0" fontId="26" fillId="0" borderId="0" xfId="0" applyFont="1" applyAlignment="1">
      <alignment horizontal="center" vertical="center"/>
    </xf>
    <xf numFmtId="0" fontId="26" fillId="0" borderId="0" xfId="0" applyFont="1" applyAlignment="1">
      <alignment vertical="center"/>
    </xf>
    <xf numFmtId="0" fontId="26" fillId="0" borderId="0" xfId="0" applyFont="1" applyAlignment="1">
      <alignment horizontal="center" vertical="center" wrapText="1"/>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left" vertical="center" wrapText="1" indent="1"/>
    </xf>
    <xf numFmtId="0" fontId="0" fillId="0" borderId="0" xfId="0" applyAlignment="1">
      <alignment horizontal="left"/>
    </xf>
    <xf numFmtId="0" fontId="0" fillId="0" borderId="49" xfId="0" applyBorder="1" applyAlignment="1">
      <alignment horizontal="left" vertical="center"/>
    </xf>
    <xf numFmtId="0" fontId="24" fillId="0" borderId="1" xfId="0" applyFont="1" applyBorder="1" applyAlignment="1">
      <alignment horizontal="left" vertical="center"/>
    </xf>
    <xf numFmtId="0" fontId="0" fillId="0" borderId="1" xfId="0" quotePrefix="1" applyBorder="1" applyAlignment="1">
      <alignment horizontal="left" vertical="center" wrapText="1"/>
    </xf>
    <xf numFmtId="0" fontId="0" fillId="0" borderId="65" xfId="0" applyBorder="1" applyAlignment="1">
      <alignment horizontal="left" vertical="top"/>
    </xf>
    <xf numFmtId="0" fontId="24" fillId="0" borderId="65" xfId="0" applyFont="1" applyBorder="1" applyAlignment="1">
      <alignment horizontal="left" vertical="top"/>
    </xf>
    <xf numFmtId="0" fontId="0" fillId="0" borderId="65" xfId="0" applyBorder="1" applyAlignment="1">
      <alignment horizontal="left" vertical="top" wrapText="1"/>
    </xf>
    <xf numFmtId="0" fontId="0" fillId="0" borderId="65" xfId="0" quotePrefix="1" applyBorder="1" applyAlignment="1">
      <alignment wrapText="1"/>
    </xf>
    <xf numFmtId="0" fontId="0" fillId="0" borderId="65" xfId="0" applyBorder="1" applyAlignment="1">
      <alignment wrapText="1"/>
    </xf>
    <xf numFmtId="0" fontId="23" fillId="12" borderId="50" xfId="0" applyFont="1" applyFill="1" applyBorder="1" applyAlignment="1">
      <alignment horizontal="center" vertical="center"/>
    </xf>
    <xf numFmtId="0" fontId="23" fillId="12" borderId="53" xfId="0" applyFont="1" applyFill="1" applyBorder="1" applyAlignment="1">
      <alignment horizontal="center" vertical="center"/>
    </xf>
    <xf numFmtId="0" fontId="23" fillId="12" borderId="57" xfId="0" applyFont="1" applyFill="1" applyBorder="1" applyAlignment="1">
      <alignment horizontal="center" vertical="center"/>
    </xf>
    <xf numFmtId="0" fontId="23" fillId="12" borderId="58" xfId="0" applyFont="1" applyFill="1" applyBorder="1" applyAlignment="1">
      <alignment horizontal="center" vertical="center"/>
    </xf>
    <xf numFmtId="0" fontId="26" fillId="18" borderId="8" xfId="0" applyFont="1" applyFill="1" applyBorder="1" applyAlignment="1">
      <alignment horizontal="center" vertical="top"/>
    </xf>
    <xf numFmtId="0" fontId="26" fillId="18" borderId="5" xfId="0" applyFont="1" applyFill="1" applyBorder="1" applyAlignment="1">
      <alignment horizontal="center" vertical="top"/>
    </xf>
    <xf numFmtId="0" fontId="23" fillId="12" borderId="8" xfId="0" applyFont="1" applyFill="1" applyBorder="1" applyAlignment="1">
      <alignment horizontal="center" vertical="top"/>
    </xf>
    <xf numFmtId="0" fontId="23" fillId="12" borderId="5" xfId="0" applyFont="1" applyFill="1" applyBorder="1" applyAlignment="1">
      <alignment horizontal="center" vertical="top"/>
    </xf>
    <xf numFmtId="0" fontId="23" fillId="12" borderId="8" xfId="0" applyFont="1" applyFill="1" applyBorder="1" applyAlignment="1">
      <alignment horizontal="center" vertical="top" wrapText="1"/>
    </xf>
    <xf numFmtId="0" fontId="23" fillId="12" borderId="5" xfId="0" applyFont="1" applyFill="1" applyBorder="1" applyAlignment="1">
      <alignment horizontal="center" vertical="top" wrapText="1"/>
    </xf>
    <xf numFmtId="0" fontId="23" fillId="12" borderId="63" xfId="0" applyFont="1" applyFill="1" applyBorder="1" applyAlignment="1">
      <alignment horizontal="center" vertical="top" wrapText="1"/>
    </xf>
    <xf numFmtId="0" fontId="23" fillId="12" borderId="8" xfId="0" applyFont="1" applyFill="1" applyBorder="1" applyAlignment="1">
      <alignment horizontal="center" vertical="center" wrapText="1"/>
    </xf>
    <xf numFmtId="0" fontId="23" fillId="12" borderId="5" xfId="0" applyFont="1" applyFill="1" applyBorder="1" applyAlignment="1">
      <alignment horizontal="center" vertical="center" wrapText="1"/>
    </xf>
    <xf numFmtId="0" fontId="23" fillId="12" borderId="60" xfId="0" applyFont="1" applyFill="1" applyBorder="1" applyAlignment="1">
      <alignment horizontal="center" vertical="center"/>
    </xf>
    <xf numFmtId="0" fontId="23" fillId="12" borderId="61" xfId="0" applyFont="1" applyFill="1" applyBorder="1" applyAlignment="1">
      <alignment horizontal="center" vertical="center"/>
    </xf>
    <xf numFmtId="0" fontId="23" fillId="12" borderId="55" xfId="0" applyFont="1" applyFill="1" applyBorder="1" applyAlignment="1">
      <alignment horizontal="center" vertical="center"/>
    </xf>
    <xf numFmtId="0" fontId="23" fillId="12" borderId="39" xfId="0" applyFont="1" applyFill="1" applyBorder="1" applyAlignment="1">
      <alignment horizontal="center" vertical="center"/>
    </xf>
    <xf numFmtId="0" fontId="23" fillId="12" borderId="62" xfId="0" applyFont="1" applyFill="1" applyBorder="1" applyAlignment="1">
      <alignment horizontal="center" vertical="center"/>
    </xf>
    <xf numFmtId="0" fontId="23" fillId="12" borderId="48" xfId="0" applyFont="1" applyFill="1" applyBorder="1" applyAlignment="1">
      <alignment horizontal="center" vertical="center"/>
    </xf>
    <xf numFmtId="0" fontId="23" fillId="12" borderId="56" xfId="0" applyFont="1" applyFill="1" applyBorder="1" applyAlignment="1">
      <alignment horizontal="center" vertical="center"/>
    </xf>
    <xf numFmtId="0" fontId="0" fillId="0" borderId="0" xfId="0" quotePrefix="1" applyAlignment="1">
      <alignment horizontal="center"/>
    </xf>
    <xf numFmtId="0" fontId="0" fillId="13" borderId="0" xfId="0" applyFill="1" applyAlignment="1">
      <alignment horizontal="left" vertical="top" wrapText="1"/>
    </xf>
    <xf numFmtId="0" fontId="20" fillId="4" borderId="34" xfId="0" applyFont="1" applyFill="1" applyBorder="1" applyAlignment="1">
      <alignment horizontal="center"/>
    </xf>
    <xf numFmtId="0" fontId="7" fillId="14" borderId="0" xfId="0" applyFont="1" applyFill="1" applyAlignment="1">
      <alignment horizontal="left" vertical="top" wrapText="1"/>
    </xf>
    <xf numFmtId="166" fontId="8" fillId="0" borderId="10" xfId="0" applyNumberFormat="1" applyFont="1" applyBorder="1" applyAlignment="1">
      <alignment horizontal="center" vertical="center"/>
    </xf>
    <xf numFmtId="166" fontId="8" fillId="0" borderId="23" xfId="0" applyNumberFormat="1" applyFont="1" applyBorder="1" applyAlignment="1">
      <alignment horizontal="center" vertical="center"/>
    </xf>
    <xf numFmtId="166" fontId="8" fillId="0" borderId="28" xfId="0" applyNumberFormat="1" applyFont="1" applyBorder="1" applyAlignment="1">
      <alignment horizontal="center" vertical="center"/>
    </xf>
    <xf numFmtId="166" fontId="8" fillId="0" borderId="34" xfId="0" applyNumberFormat="1" applyFont="1" applyBorder="1" applyAlignment="1">
      <alignment horizontal="center" vertical="center"/>
    </xf>
    <xf numFmtId="49" fontId="8" fillId="0" borderId="19" xfId="0" applyNumberFormat="1" applyFont="1" applyBorder="1" applyAlignment="1">
      <alignment horizontal="center"/>
    </xf>
    <xf numFmtId="49" fontId="8" fillId="0" borderId="20" xfId="0" applyNumberFormat="1" applyFont="1" applyBorder="1" applyAlignment="1">
      <alignment horizontal="center"/>
    </xf>
    <xf numFmtId="49" fontId="8" fillId="0" borderId="21" xfId="0" applyNumberFormat="1" applyFont="1" applyBorder="1" applyAlignment="1">
      <alignment horizontal="center"/>
    </xf>
    <xf numFmtId="49" fontId="8" fillId="0" borderId="45" xfId="0" applyNumberFormat="1" applyFont="1" applyBorder="1" applyAlignment="1">
      <alignment horizontal="center"/>
    </xf>
    <xf numFmtId="0" fontId="8" fillId="14" borderId="19" xfId="0" applyFont="1" applyFill="1" applyBorder="1" applyAlignment="1">
      <alignment horizontal="center"/>
    </xf>
    <xf numFmtId="0" fontId="8" fillId="14" borderId="20" xfId="0" applyFont="1" applyFill="1" applyBorder="1" applyAlignment="1">
      <alignment horizontal="center"/>
    </xf>
    <xf numFmtId="0" fontId="8" fillId="14" borderId="21" xfId="0" applyFont="1" applyFill="1" applyBorder="1" applyAlignment="1">
      <alignment horizontal="center"/>
    </xf>
    <xf numFmtId="0" fontId="8" fillId="14" borderId="47" xfId="0" applyFont="1" applyFill="1" applyBorder="1" applyAlignment="1">
      <alignment horizontal="center"/>
    </xf>
    <xf numFmtId="0" fontId="8" fillId="0" borderId="0" xfId="0" applyFont="1" applyAlignment="1">
      <alignment horizontal="center"/>
    </xf>
    <xf numFmtId="0" fontId="12" fillId="18" borderId="10" xfId="0" applyFont="1" applyFill="1" applyBorder="1" applyAlignment="1">
      <alignment horizontal="center" vertical="center"/>
    </xf>
    <xf numFmtId="0" fontId="12" fillId="18" borderId="28" xfId="0" applyFont="1" applyFill="1" applyBorder="1" applyAlignment="1">
      <alignment horizontal="center" vertical="center"/>
    </xf>
    <xf numFmtId="0" fontId="15" fillId="16" borderId="10" xfId="0" applyFont="1" applyFill="1" applyBorder="1" applyAlignment="1">
      <alignment horizontal="center" vertical="center" wrapText="1"/>
    </xf>
    <xf numFmtId="0" fontId="15" fillId="16" borderId="28" xfId="0" applyFont="1" applyFill="1" applyBorder="1" applyAlignment="1">
      <alignment horizontal="center" vertical="center" wrapText="1"/>
    </xf>
    <xf numFmtId="0" fontId="0" fillId="25" borderId="1" xfId="0" applyFill="1" applyBorder="1" applyAlignment="1">
      <alignment horizontal="left" vertical="center"/>
    </xf>
    <xf numFmtId="0" fontId="8" fillId="0" borderId="1" xfId="0" applyFont="1" applyFill="1" applyBorder="1" applyAlignment="1">
      <alignment horizontal="center"/>
    </xf>
    <xf numFmtId="0" fontId="8" fillId="0" borderId="13" xfId="0" applyFont="1" applyFill="1" applyBorder="1" applyAlignment="1">
      <alignment horizontal="center"/>
    </xf>
  </cellXfs>
  <cellStyles count="56">
    <cellStyle name="%" xfId="51" xr:uid="{00000000-0005-0000-0000-000000000000}"/>
    <cellStyle name="Accent1" xfId="1" builtinId="29"/>
    <cellStyle name="checkExposure" xfId="2" xr:uid="{00000000-0005-0000-0000-000002000000}"/>
    <cellStyle name="Comma" xfId="52" builtinId="3"/>
    <cellStyle name="Comma [0]" xfId="55" builtinId="6"/>
    <cellStyle name="Comma 2" xfId="54" xr:uid="{00000000-0005-0000-0000-000005000000}"/>
    <cellStyle name="greyed" xfId="3" xr:uid="{00000000-0005-0000-0000-000006000000}"/>
    <cellStyle name="highlightExposure" xfId="4" xr:uid="{00000000-0005-0000-0000-000007000000}"/>
    <cellStyle name="highlightPD" xfId="5" xr:uid="{00000000-0005-0000-0000-000008000000}"/>
    <cellStyle name="highlightPercentage" xfId="6" xr:uid="{00000000-0005-0000-0000-000009000000}"/>
    <cellStyle name="highlightText" xfId="7" xr:uid="{00000000-0005-0000-0000-00000A000000}"/>
    <cellStyle name="Hyperlink" xfId="53" builtinId="8"/>
    <cellStyle name="inputDate" xfId="8" xr:uid="{00000000-0005-0000-0000-00000C000000}"/>
    <cellStyle name="inputExposure" xfId="9" xr:uid="{00000000-0005-0000-0000-00000D000000}"/>
    <cellStyle name="inputMaturity" xfId="10" xr:uid="{00000000-0005-0000-0000-00000E000000}"/>
    <cellStyle name="inputPD" xfId="11" xr:uid="{00000000-0005-0000-0000-00000F000000}"/>
    <cellStyle name="inputPercentage" xfId="12" xr:uid="{00000000-0005-0000-0000-000010000000}"/>
    <cellStyle name="inputSelection" xfId="13" xr:uid="{00000000-0005-0000-0000-000011000000}"/>
    <cellStyle name="inputText" xfId="14" xr:uid="{00000000-0005-0000-0000-000012000000}"/>
    <cellStyle name="Normal" xfId="0" builtinId="0"/>
    <cellStyle name="Normal 2" xfId="15" xr:uid="{00000000-0005-0000-0000-000014000000}"/>
    <cellStyle name="Normal 2 2" xfId="16" xr:uid="{00000000-0005-0000-0000-000015000000}"/>
    <cellStyle name="Normal 3" xfId="17" xr:uid="{00000000-0005-0000-0000-000016000000}"/>
    <cellStyle name="optionalExposure" xfId="18" xr:uid="{00000000-0005-0000-0000-000017000000}"/>
    <cellStyle name="optionalMaturity" xfId="19" xr:uid="{00000000-0005-0000-0000-000018000000}"/>
    <cellStyle name="optionalPD" xfId="20" xr:uid="{00000000-0005-0000-0000-000019000000}"/>
    <cellStyle name="optionalPercentage" xfId="21" xr:uid="{00000000-0005-0000-0000-00001A000000}"/>
    <cellStyle name="optionalSelection" xfId="22" xr:uid="{00000000-0005-0000-0000-00001B000000}"/>
    <cellStyle name="optionalText" xfId="23" xr:uid="{00000000-0005-0000-0000-00001C000000}"/>
    <cellStyle name="showCheck" xfId="24" xr:uid="{00000000-0005-0000-0000-00001D000000}"/>
    <cellStyle name="showExposure" xfId="25" xr:uid="{00000000-0005-0000-0000-00001E000000}"/>
    <cellStyle name="showParameterE" xfId="26" xr:uid="{00000000-0005-0000-0000-00001F000000}"/>
    <cellStyle name="showParameterS" xfId="27" xr:uid="{00000000-0005-0000-0000-000020000000}"/>
    <cellStyle name="showParameterS 2" xfId="28" xr:uid="{00000000-0005-0000-0000-000021000000}"/>
    <cellStyle name="showPD" xfId="29" xr:uid="{00000000-0005-0000-0000-000022000000}"/>
    <cellStyle name="showPercentage" xfId="30" xr:uid="{00000000-0005-0000-0000-000023000000}"/>
    <cellStyle name="showSelection" xfId="31" xr:uid="{00000000-0005-0000-0000-000024000000}"/>
    <cellStyle name="sup2Int" xfId="32" xr:uid="{00000000-0005-0000-0000-000025000000}"/>
    <cellStyle name="sup2ParameterE" xfId="33" xr:uid="{00000000-0005-0000-0000-000026000000}"/>
    <cellStyle name="sup2Percentage" xfId="34" xr:uid="{00000000-0005-0000-0000-000027000000}"/>
    <cellStyle name="sup2PercentageL" xfId="35" xr:uid="{00000000-0005-0000-0000-000028000000}"/>
    <cellStyle name="sup2PercentageM" xfId="36" xr:uid="{00000000-0005-0000-0000-000029000000}"/>
    <cellStyle name="sup2Selection" xfId="37" xr:uid="{00000000-0005-0000-0000-00002A000000}"/>
    <cellStyle name="sup2Text" xfId="38" xr:uid="{00000000-0005-0000-0000-00002B000000}"/>
    <cellStyle name="sup3ParameterE" xfId="39" xr:uid="{00000000-0005-0000-0000-00002C000000}"/>
    <cellStyle name="sup3Percentage" xfId="40" xr:uid="{00000000-0005-0000-0000-00002D000000}"/>
    <cellStyle name="supFloat" xfId="41" xr:uid="{00000000-0005-0000-0000-00002E000000}"/>
    <cellStyle name="supInt" xfId="42" xr:uid="{00000000-0005-0000-0000-00002F000000}"/>
    <cellStyle name="supParameterE" xfId="43" xr:uid="{00000000-0005-0000-0000-000030000000}"/>
    <cellStyle name="supParameterS" xfId="44" xr:uid="{00000000-0005-0000-0000-000031000000}"/>
    <cellStyle name="supPD" xfId="45" xr:uid="{00000000-0005-0000-0000-000032000000}"/>
    <cellStyle name="supPercentage" xfId="46" xr:uid="{00000000-0005-0000-0000-000033000000}"/>
    <cellStyle name="supPercentageL" xfId="47" xr:uid="{00000000-0005-0000-0000-000034000000}"/>
    <cellStyle name="supPercentageM" xfId="48" xr:uid="{00000000-0005-0000-0000-000035000000}"/>
    <cellStyle name="supSelection" xfId="49" xr:uid="{00000000-0005-0000-0000-000036000000}"/>
    <cellStyle name="supText" xfId="50" xr:uid="{00000000-0005-0000-0000-000037000000}"/>
  </cellStyles>
  <dxfs count="0"/>
  <tableStyles count="0" defaultTableStyle="TableStyleMedium9" defaultPivotStyle="PivotStyleLight16"/>
  <colors>
    <mruColors>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2009/SE%20Risiko%20Kredit/Impact%20Study/Mandiri_2009_09.xls" TargetMode="External"/><Relationship Id="rId1" Type="http://schemas.openxmlformats.org/officeDocument/2006/relationships/externalLinkPath" Target="/2009/SE%20Risiko%20Kredit/Impact%20Study/Mandiri_2009_0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roject/Assessment/20220916%20-%20ToRR%20-%20SCV%20-%20Suku%20bunga/Mandays%20CR%20LPS%20Tingkat%20Bunga.xlsx" TargetMode="External"/><Relationship Id="rId1" Type="http://schemas.openxmlformats.org/officeDocument/2006/relationships/externalLinkPath" Target="/Project/Assessment/20220916%20-%20ToRR%20-%20SCV%20-%20Suku%20bunga/Mandays%20CR%20LPS%20Tingkat%20Bung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Results"/>
      <sheetName val="Checks"/>
      <sheetName val="Parameters"/>
      <sheetName val="Related entities"/>
      <sheetName val="Current"/>
      <sheetName val="Current Securitisation"/>
      <sheetName val="Standardised"/>
      <sheetName val="Standardised Securitisation"/>
      <sheetName val="Operational risk"/>
    </sheetNames>
    <sheetDataSet>
      <sheetData sheetId="0"/>
      <sheetData sheetId="1"/>
      <sheetData sheetId="2"/>
      <sheetData sheetId="3">
        <row r="315">
          <cell r="C315" t="str">
            <v>Yes</v>
          </cell>
        </row>
        <row r="316">
          <cell r="C316" t="str">
            <v>No</v>
          </cell>
        </row>
        <row r="317">
          <cell r="C317">
            <v>1</v>
          </cell>
        </row>
        <row r="318">
          <cell r="C318">
            <v>2</v>
          </cell>
        </row>
        <row r="346">
          <cell r="C346" t="str">
            <v>Standardised Approach</v>
          </cell>
        </row>
        <row r="347">
          <cell r="C347" t="str">
            <v>Alternative Standardised Approach</v>
          </cell>
        </row>
        <row r="352">
          <cell r="C352" t="str">
            <v>RSA</v>
          </cell>
        </row>
        <row r="353">
          <cell r="C353" t="str">
            <v>FIRB</v>
          </cell>
        </row>
        <row r="354">
          <cell r="C354" t="str">
            <v>AIRB</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sion Tracking log"/>
      <sheetName val="Summary"/>
      <sheetName val="Update Bulan Lalu"/>
      <sheetName val="Laporan Realisasi Kredit"/>
      <sheetName val="Detail Laporan Realisasi Kredit"/>
      <sheetName val="Penurunan Data form 11"/>
      <sheetName val="Detail Penurunan Data form 11"/>
      <sheetName val="Revamp Antasena"/>
      <sheetName val="Detail Revamp Antasena"/>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4">
          <cell r="K14">
            <v>1.5</v>
          </cell>
        </row>
        <row r="15">
          <cell r="K15">
            <v>2</v>
          </cell>
        </row>
        <row r="16">
          <cell r="K16">
            <v>3</v>
          </cell>
        </row>
        <row r="17">
          <cell r="K17">
            <v>3</v>
          </cell>
        </row>
        <row r="18">
          <cell r="K18">
            <v>2</v>
          </cell>
        </row>
        <row r="19">
          <cell r="K19">
            <v>2</v>
          </cell>
        </row>
      </sheetData>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16"/>
  <sheetViews>
    <sheetView workbookViewId="0">
      <selection activeCell="G3" sqref="G3"/>
    </sheetView>
  </sheetViews>
  <sheetFormatPr defaultRowHeight="14.5" x14ac:dyDescent="0.35"/>
  <cols>
    <col min="3" max="3" width="44.453125" bestFit="1" customWidth="1"/>
    <col min="4" max="4" width="21.54296875" bestFit="1" customWidth="1"/>
    <col min="5" max="5" width="5.54296875" bestFit="1" customWidth="1"/>
    <col min="6" max="6" width="10" bestFit="1" customWidth="1"/>
    <col min="7" max="7" width="4.453125" bestFit="1" customWidth="1"/>
    <col min="8" max="8" width="5.54296875" bestFit="1" customWidth="1"/>
    <col min="9" max="9" width="6.453125" bestFit="1" customWidth="1"/>
    <col min="10" max="10" width="5.453125" bestFit="1" customWidth="1"/>
    <col min="11" max="11" width="4" bestFit="1" customWidth="1"/>
    <col min="12" max="12" width="10.54296875" bestFit="1" customWidth="1"/>
  </cols>
  <sheetData>
    <row r="2" spans="2:13" ht="15" thickBot="1" x14ac:dyDescent="0.4">
      <c r="G2" s="21" t="s">
        <v>80</v>
      </c>
      <c r="H2" s="21" t="s">
        <v>81</v>
      </c>
      <c r="I2" s="21" t="s">
        <v>82</v>
      </c>
      <c r="J2" s="21" t="s">
        <v>77</v>
      </c>
      <c r="K2" s="21" t="s">
        <v>46</v>
      </c>
      <c r="L2" s="21" t="s">
        <v>83</v>
      </c>
    </row>
    <row r="3" spans="2:13" ht="15" thickTop="1" x14ac:dyDescent="0.35">
      <c r="D3" s="19" t="s">
        <v>78</v>
      </c>
      <c r="E3" s="19" t="e">
        <f>#REF!+#REF!+#REF!</f>
        <v>#REF!</v>
      </c>
      <c r="G3" t="e">
        <f>#REF!</f>
        <v>#REF!</v>
      </c>
      <c r="H3" t="e">
        <f>#REF!</f>
        <v>#REF!</v>
      </c>
      <c r="I3">
        <f>LKPBU!D1</f>
        <v>40</v>
      </c>
      <c r="J3">
        <f>LBBU!C2</f>
        <v>0</v>
      </c>
      <c r="K3" t="e">
        <f>#REF!</f>
        <v>#REF!</v>
      </c>
      <c r="L3">
        <f>'CF Data(V+)'!D1</f>
        <v>0</v>
      </c>
    </row>
    <row r="4" spans="2:13" ht="15" thickBot="1" x14ac:dyDescent="0.4">
      <c r="D4" s="20" t="s">
        <v>79</v>
      </c>
      <c r="E4" s="20" t="e">
        <f>#REF!+#REF!+LKPBU!C1+LBBU!C1+#REF!+'CF Data(V+)'!H10</f>
        <v>#REF!</v>
      </c>
      <c r="G4" s="12" t="e">
        <f>#REF!</f>
        <v>#REF!</v>
      </c>
      <c r="H4" s="12" t="e">
        <f>#REF!</f>
        <v>#REF!</v>
      </c>
      <c r="I4" s="12">
        <f>LKPBU!C1</f>
        <v>51</v>
      </c>
      <c r="J4" s="12">
        <f>LBBU!C1</f>
        <v>17</v>
      </c>
      <c r="K4" s="12" t="e">
        <f>#REF!</f>
        <v>#REF!</v>
      </c>
      <c r="L4" s="12">
        <f>'CF Data(V+)'!H10</f>
        <v>0</v>
      </c>
    </row>
    <row r="5" spans="2:13" ht="15" thickTop="1" x14ac:dyDescent="0.35">
      <c r="D5" t="s">
        <v>51</v>
      </c>
      <c r="E5" t="e">
        <f>E3+E4</f>
        <v>#REF!</v>
      </c>
      <c r="G5" t="e">
        <f t="shared" ref="G5:L5" si="0">G3+G4</f>
        <v>#REF!</v>
      </c>
      <c r="H5" t="e">
        <f t="shared" si="0"/>
        <v>#REF!</v>
      </c>
      <c r="I5">
        <f t="shared" si="0"/>
        <v>91</v>
      </c>
      <c r="J5">
        <f t="shared" si="0"/>
        <v>17</v>
      </c>
      <c r="K5" t="e">
        <f t="shared" si="0"/>
        <v>#REF!</v>
      </c>
      <c r="L5">
        <f t="shared" si="0"/>
        <v>0</v>
      </c>
    </row>
    <row r="7" spans="2:13" x14ac:dyDescent="0.35">
      <c r="D7" s="3" t="s">
        <v>84</v>
      </c>
      <c r="G7" s="3" t="s">
        <v>80</v>
      </c>
      <c r="H7" s="3" t="s">
        <v>81</v>
      </c>
      <c r="I7" s="3" t="s">
        <v>82</v>
      </c>
      <c r="J7" s="3" t="s">
        <v>77</v>
      </c>
      <c r="K7" s="3" t="s">
        <v>46</v>
      </c>
      <c r="L7" s="3" t="s">
        <v>83</v>
      </c>
    </row>
    <row r="8" spans="2:13" x14ac:dyDescent="0.35">
      <c r="D8" s="3" t="s">
        <v>78</v>
      </c>
      <c r="E8" s="3">
        <f>SUM(G8:L8)</f>
        <v>108</v>
      </c>
      <c r="G8" s="22">
        <v>14</v>
      </c>
      <c r="H8" s="22">
        <v>19</v>
      </c>
      <c r="I8">
        <v>0</v>
      </c>
      <c r="J8">
        <v>0</v>
      </c>
      <c r="K8" s="22">
        <v>75</v>
      </c>
      <c r="L8">
        <v>0</v>
      </c>
      <c r="M8" t="s">
        <v>85</v>
      </c>
    </row>
    <row r="9" spans="2:13" x14ac:dyDescent="0.35">
      <c r="D9" t="s">
        <v>79</v>
      </c>
      <c r="E9" s="3">
        <f>SUM(G9:L9)</f>
        <v>96</v>
      </c>
      <c r="G9">
        <v>6</v>
      </c>
      <c r="H9">
        <v>29</v>
      </c>
      <c r="I9" s="22">
        <v>45</v>
      </c>
      <c r="J9">
        <v>16</v>
      </c>
      <c r="K9">
        <v>0</v>
      </c>
      <c r="L9">
        <v>0</v>
      </c>
    </row>
    <row r="10" spans="2:13" x14ac:dyDescent="0.35">
      <c r="D10" t="s">
        <v>51</v>
      </c>
      <c r="E10">
        <f>SUM(E8:E9)</f>
        <v>204</v>
      </c>
      <c r="G10">
        <f t="shared" ref="G10:L10" si="1">SUM(G8:G9)</f>
        <v>20</v>
      </c>
      <c r="H10">
        <f t="shared" si="1"/>
        <v>48</v>
      </c>
      <c r="I10">
        <f t="shared" si="1"/>
        <v>45</v>
      </c>
      <c r="J10">
        <f t="shared" si="1"/>
        <v>16</v>
      </c>
      <c r="K10">
        <f t="shared" si="1"/>
        <v>75</v>
      </c>
      <c r="L10">
        <f t="shared" si="1"/>
        <v>0</v>
      </c>
    </row>
    <row r="15" spans="2:13" x14ac:dyDescent="0.35">
      <c r="B15" s="22"/>
    </row>
    <row r="16" spans="2:13" x14ac:dyDescent="0.35">
      <c r="F16"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zoomScale="85" zoomScaleNormal="85" workbookViewId="0">
      <pane xSplit="5" ySplit="3" topLeftCell="F10" activePane="bottomRight" state="frozen"/>
      <selection pane="topRight" activeCell="E1" sqref="E1"/>
      <selection pane="bottomLeft" activeCell="A4" sqref="A4"/>
      <selection pane="bottomRight" activeCell="B12" sqref="B12"/>
    </sheetView>
  </sheetViews>
  <sheetFormatPr defaultRowHeight="14.5" x14ac:dyDescent="0.35"/>
  <cols>
    <col min="1" max="1" width="3.453125" bestFit="1" customWidth="1"/>
    <col min="2" max="2" width="41.54296875" bestFit="1" customWidth="1"/>
    <col min="3" max="3" width="16.54296875" customWidth="1"/>
    <col min="4" max="4" width="7.453125" bestFit="1" customWidth="1"/>
    <col min="5" max="5" width="57.453125" customWidth="1"/>
    <col min="6" max="6" width="91.453125" customWidth="1"/>
    <col min="7" max="7" width="5.54296875" style="4" bestFit="1" customWidth="1"/>
    <col min="8" max="8" width="40" bestFit="1" customWidth="1"/>
    <col min="9" max="9" width="69.453125" customWidth="1"/>
    <col min="10" max="10" width="38.453125" bestFit="1" customWidth="1"/>
    <col min="12" max="12" width="9.453125" bestFit="1" customWidth="1"/>
  </cols>
  <sheetData>
    <row r="1" spans="1:10" x14ac:dyDescent="0.35">
      <c r="B1" s="7" t="s">
        <v>42</v>
      </c>
      <c r="C1" s="7">
        <f>SUMIF(D4:D12,"Finance",H4:H12)</f>
        <v>51</v>
      </c>
      <c r="D1" s="3">
        <v>40</v>
      </c>
      <c r="G1" s="1"/>
    </row>
    <row r="2" spans="1:10" x14ac:dyDescent="0.35">
      <c r="B2" s="3" t="s">
        <v>43</v>
      </c>
      <c r="G2" s="239" t="s">
        <v>17</v>
      </c>
      <c r="H2" s="239"/>
    </row>
    <row r="3" spans="1:10" ht="29" x14ac:dyDescent="0.35">
      <c r="A3" s="8" t="s">
        <v>1</v>
      </c>
      <c r="B3" s="8" t="s">
        <v>2</v>
      </c>
      <c r="C3" s="8" t="s">
        <v>3</v>
      </c>
      <c r="D3" s="8" t="s">
        <v>8</v>
      </c>
      <c r="E3" s="8" t="s">
        <v>15</v>
      </c>
      <c r="F3" s="8" t="s">
        <v>16</v>
      </c>
      <c r="G3" s="9" t="s">
        <v>5</v>
      </c>
      <c r="H3" s="8" t="s">
        <v>0</v>
      </c>
      <c r="I3" s="8" t="s">
        <v>52</v>
      </c>
      <c r="J3" s="8" t="s">
        <v>54</v>
      </c>
    </row>
    <row r="4" spans="1:10" ht="145" x14ac:dyDescent="0.35">
      <c r="A4">
        <v>1</v>
      </c>
      <c r="B4" t="s">
        <v>11</v>
      </c>
      <c r="C4" t="s">
        <v>12</v>
      </c>
      <c r="D4" t="s">
        <v>9</v>
      </c>
      <c r="E4" t="s">
        <v>6</v>
      </c>
      <c r="F4" t="s">
        <v>44</v>
      </c>
      <c r="G4" s="2"/>
      <c r="H4" s="3">
        <v>2</v>
      </c>
      <c r="I4" s="4" t="s">
        <v>61</v>
      </c>
      <c r="J4" t="s">
        <v>64</v>
      </c>
    </row>
    <row r="5" spans="1:10" ht="145" x14ac:dyDescent="0.35">
      <c r="A5">
        <f>A4+1</f>
        <v>2</v>
      </c>
      <c r="B5" t="s">
        <v>11</v>
      </c>
      <c r="C5" t="s">
        <v>13</v>
      </c>
      <c r="D5" t="s">
        <v>9</v>
      </c>
      <c r="E5" t="s">
        <v>6</v>
      </c>
      <c r="F5" t="s">
        <v>44</v>
      </c>
      <c r="G5" s="2"/>
      <c r="H5" s="3">
        <v>2</v>
      </c>
      <c r="I5" s="4" t="s">
        <v>60</v>
      </c>
      <c r="J5" t="s">
        <v>64</v>
      </c>
    </row>
    <row r="6" spans="1:10" ht="203" x14ac:dyDescent="0.35">
      <c r="A6">
        <f t="shared" ref="A6:A11" si="0">A5+1</f>
        <v>3</v>
      </c>
      <c r="B6" t="s">
        <v>14</v>
      </c>
      <c r="C6" t="s">
        <v>12</v>
      </c>
      <c r="D6" t="s">
        <v>9</v>
      </c>
      <c r="E6" t="s">
        <v>6</v>
      </c>
      <c r="F6" t="s">
        <v>44</v>
      </c>
      <c r="G6" s="2"/>
      <c r="H6" s="3">
        <v>4</v>
      </c>
      <c r="I6" s="4" t="s">
        <v>62</v>
      </c>
      <c r="J6" t="s">
        <v>64</v>
      </c>
    </row>
    <row r="7" spans="1:10" ht="203" x14ac:dyDescent="0.35">
      <c r="A7">
        <f t="shared" si="0"/>
        <v>4</v>
      </c>
      <c r="B7" t="s">
        <v>14</v>
      </c>
      <c r="C7" t="s">
        <v>13</v>
      </c>
      <c r="D7" t="s">
        <v>9</v>
      </c>
      <c r="E7" t="s">
        <v>6</v>
      </c>
      <c r="F7" t="s">
        <v>44</v>
      </c>
      <c r="G7" s="2"/>
      <c r="H7" s="3">
        <v>4</v>
      </c>
      <c r="I7" s="4" t="s">
        <v>59</v>
      </c>
      <c r="J7" t="s">
        <v>64</v>
      </c>
    </row>
    <row r="8" spans="1:10" ht="300.64999999999998" customHeight="1" x14ac:dyDescent="0.35">
      <c r="A8">
        <f t="shared" si="0"/>
        <v>5</v>
      </c>
      <c r="B8" t="s">
        <v>21</v>
      </c>
      <c r="C8" t="s">
        <v>12</v>
      </c>
      <c r="D8" t="s">
        <v>9</v>
      </c>
      <c r="E8" t="s">
        <v>6</v>
      </c>
      <c r="F8" t="s">
        <v>44</v>
      </c>
      <c r="G8" s="2"/>
      <c r="H8" s="3">
        <v>14</v>
      </c>
      <c r="I8" s="4" t="s">
        <v>55</v>
      </c>
      <c r="J8" t="s">
        <v>64</v>
      </c>
    </row>
    <row r="9" spans="1:10" ht="116" x14ac:dyDescent="0.35">
      <c r="A9">
        <f t="shared" si="0"/>
        <v>6</v>
      </c>
      <c r="B9" t="s">
        <v>22</v>
      </c>
      <c r="C9" t="s">
        <v>12</v>
      </c>
      <c r="D9" t="s">
        <v>9</v>
      </c>
      <c r="E9" t="s">
        <v>6</v>
      </c>
      <c r="F9" t="s">
        <v>44</v>
      </c>
      <c r="G9" s="2"/>
      <c r="H9" s="3">
        <v>5</v>
      </c>
      <c r="I9" s="4" t="s">
        <v>56</v>
      </c>
      <c r="J9" t="s">
        <v>64</v>
      </c>
    </row>
    <row r="10" spans="1:10" ht="315" customHeight="1" x14ac:dyDescent="0.35">
      <c r="A10">
        <f t="shared" si="0"/>
        <v>7</v>
      </c>
      <c r="B10" t="s">
        <v>23</v>
      </c>
      <c r="C10" t="s">
        <v>13</v>
      </c>
      <c r="D10" t="s">
        <v>9</v>
      </c>
      <c r="E10" t="s">
        <v>6</v>
      </c>
      <c r="F10" t="s">
        <v>44</v>
      </c>
      <c r="G10" s="2"/>
      <c r="H10" s="3">
        <v>14</v>
      </c>
      <c r="I10" s="4" t="s">
        <v>57</v>
      </c>
      <c r="J10" t="s">
        <v>64</v>
      </c>
    </row>
    <row r="11" spans="1:10" ht="116" x14ac:dyDescent="0.35">
      <c r="A11">
        <f t="shared" si="0"/>
        <v>8</v>
      </c>
      <c r="B11" t="s">
        <v>24</v>
      </c>
      <c r="C11" t="s">
        <v>13</v>
      </c>
      <c r="D11" t="s">
        <v>9</v>
      </c>
      <c r="E11" t="s">
        <v>6</v>
      </c>
      <c r="F11" t="s">
        <v>44</v>
      </c>
      <c r="G11" s="2"/>
      <c r="H11" s="3">
        <v>5</v>
      </c>
      <c r="I11" s="4" t="s">
        <v>58</v>
      </c>
      <c r="J11" t="s">
        <v>64</v>
      </c>
    </row>
    <row r="12" spans="1:10" x14ac:dyDescent="0.35">
      <c r="A12">
        <f>A11+1</f>
        <v>9</v>
      </c>
      <c r="B12" t="s">
        <v>18</v>
      </c>
      <c r="C12" t="s">
        <v>19</v>
      </c>
      <c r="D12" t="s">
        <v>9</v>
      </c>
      <c r="E12" s="4" t="s">
        <v>20</v>
      </c>
      <c r="F12" s="4"/>
      <c r="H12" s="3">
        <v>1</v>
      </c>
      <c r="I12" t="s">
        <v>63</v>
      </c>
      <c r="J12" t="s">
        <v>64</v>
      </c>
    </row>
    <row r="13" spans="1:10" x14ac:dyDescent="0.35">
      <c r="G13"/>
      <c r="H13" s="3"/>
      <c r="I13" s="3"/>
    </row>
  </sheetData>
  <mergeCells count="1">
    <mergeCell ref="G2:H2"/>
  </mergeCells>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zoomScale="85" zoomScaleNormal="85" workbookViewId="0">
      <pane xSplit="5" ySplit="3" topLeftCell="F4" activePane="bottomRight" state="frozen"/>
      <selection pane="topRight" activeCell="E1" sqref="E1"/>
      <selection pane="bottomLeft" activeCell="A4" sqref="A4"/>
      <selection pane="bottomRight" activeCell="E9" sqref="E9"/>
    </sheetView>
  </sheetViews>
  <sheetFormatPr defaultRowHeight="14.5" x14ac:dyDescent="0.35"/>
  <cols>
    <col min="1" max="1" width="3.453125" bestFit="1" customWidth="1"/>
    <col min="2" max="2" width="41.54296875" bestFit="1" customWidth="1"/>
    <col min="3" max="3" width="14.54296875" customWidth="1"/>
    <col min="4" max="4" width="7.453125" bestFit="1" customWidth="1"/>
    <col min="5" max="5" width="31.453125" bestFit="1" customWidth="1"/>
    <col min="6" max="6" width="91.453125" customWidth="1"/>
    <col min="7" max="7" width="54.54296875" style="4" bestFit="1" customWidth="1"/>
    <col min="8" max="8" width="40" bestFit="1" customWidth="1"/>
    <col min="9" max="9" width="45.54296875" customWidth="1"/>
    <col min="10" max="10" width="37.453125" customWidth="1"/>
  </cols>
  <sheetData>
    <row r="1" spans="1:10" ht="18.5" x14ac:dyDescent="0.45">
      <c r="B1" s="15" t="s">
        <v>42</v>
      </c>
      <c r="C1" s="15">
        <f>SUM(G:H)+SUM(I4:I22)</f>
        <v>17</v>
      </c>
      <c r="D1" s="3">
        <v>14</v>
      </c>
      <c r="G1" s="1"/>
    </row>
    <row r="2" spans="1:10" x14ac:dyDescent="0.35">
      <c r="G2" s="239" t="s">
        <v>87</v>
      </c>
      <c r="H2" s="239"/>
    </row>
    <row r="3" spans="1:10" x14ac:dyDescent="0.35">
      <c r="A3" s="8" t="s">
        <v>1</v>
      </c>
      <c r="B3" s="8" t="s">
        <v>2</v>
      </c>
      <c r="C3" s="8" t="s">
        <v>3</v>
      </c>
      <c r="D3" s="8" t="s">
        <v>8</v>
      </c>
      <c r="E3" s="8" t="s">
        <v>27</v>
      </c>
      <c r="F3" s="8" t="s">
        <v>4</v>
      </c>
      <c r="G3" s="9" t="s">
        <v>5</v>
      </c>
      <c r="H3" s="8" t="s">
        <v>0</v>
      </c>
      <c r="I3" s="13" t="s">
        <v>65</v>
      </c>
      <c r="J3" s="13" t="s">
        <v>53</v>
      </c>
    </row>
    <row r="4" spans="1:10" ht="43.5" x14ac:dyDescent="0.35">
      <c r="A4">
        <v>1</v>
      </c>
      <c r="B4" t="s">
        <v>25</v>
      </c>
      <c r="C4" t="s">
        <v>26</v>
      </c>
      <c r="D4" t="s">
        <v>9</v>
      </c>
      <c r="E4" t="s">
        <v>7</v>
      </c>
      <c r="F4" s="4" t="s">
        <v>28</v>
      </c>
      <c r="G4" s="4" t="s">
        <v>86</v>
      </c>
      <c r="H4" s="6">
        <v>5</v>
      </c>
      <c r="I4" s="14" t="s">
        <v>74</v>
      </c>
      <c r="J4" s="14" t="s">
        <v>75</v>
      </c>
    </row>
    <row r="5" spans="1:10" ht="188.5" x14ac:dyDescent="0.35">
      <c r="A5">
        <v>2</v>
      </c>
      <c r="B5" t="s">
        <v>29</v>
      </c>
      <c r="C5" t="s">
        <v>26</v>
      </c>
      <c r="D5" t="s">
        <v>9</v>
      </c>
      <c r="E5" t="s">
        <v>7</v>
      </c>
      <c r="F5" s="4" t="s">
        <v>66</v>
      </c>
      <c r="H5" s="6">
        <v>3</v>
      </c>
      <c r="I5" s="14" t="s">
        <v>74</v>
      </c>
      <c r="J5" s="14" t="s">
        <v>75</v>
      </c>
    </row>
    <row r="6" spans="1:10" ht="29" x14ac:dyDescent="0.35">
      <c r="A6">
        <v>3</v>
      </c>
      <c r="B6" t="s">
        <v>30</v>
      </c>
      <c r="C6" t="s">
        <v>26</v>
      </c>
      <c r="D6" t="s">
        <v>9</v>
      </c>
      <c r="E6" t="s">
        <v>7</v>
      </c>
      <c r="F6" s="4" t="s">
        <v>31</v>
      </c>
      <c r="H6" s="6">
        <v>2</v>
      </c>
      <c r="I6" s="14" t="s">
        <v>74</v>
      </c>
      <c r="J6" s="14" t="s">
        <v>75</v>
      </c>
    </row>
    <row r="7" spans="1:10" s="23" customFormat="1" x14ac:dyDescent="0.35">
      <c r="A7" s="23">
        <v>4</v>
      </c>
      <c r="B7" s="23" t="s">
        <v>32</v>
      </c>
      <c r="C7" s="23" t="s">
        <v>33</v>
      </c>
      <c r="D7" s="23" t="s">
        <v>9</v>
      </c>
      <c r="E7" s="23" t="s">
        <v>7</v>
      </c>
      <c r="F7" s="24" t="s">
        <v>67</v>
      </c>
      <c r="G7" s="24"/>
      <c r="H7" s="25">
        <v>0</v>
      </c>
      <c r="I7" s="240" t="s">
        <v>45</v>
      </c>
      <c r="J7" s="240" t="s">
        <v>75</v>
      </c>
    </row>
    <row r="8" spans="1:10" s="23" customFormat="1" x14ac:dyDescent="0.35">
      <c r="A8" s="23">
        <v>5</v>
      </c>
      <c r="B8" s="23" t="s">
        <v>34</v>
      </c>
      <c r="C8" s="23" t="s">
        <v>33</v>
      </c>
      <c r="D8" s="23" t="s">
        <v>9</v>
      </c>
      <c r="E8" s="23" t="s">
        <v>7</v>
      </c>
      <c r="F8" s="24" t="s">
        <v>68</v>
      </c>
      <c r="G8" s="24"/>
      <c r="H8" s="25">
        <v>0</v>
      </c>
      <c r="I8" s="240"/>
      <c r="J8" s="240"/>
    </row>
    <row r="9" spans="1:10" s="23" customFormat="1" x14ac:dyDescent="0.35">
      <c r="A9" s="23">
        <v>6</v>
      </c>
      <c r="B9" s="23" t="s">
        <v>35</v>
      </c>
      <c r="C9" s="23" t="s">
        <v>33</v>
      </c>
      <c r="D9" s="23" t="s">
        <v>9</v>
      </c>
      <c r="E9" s="23" t="s">
        <v>7</v>
      </c>
      <c r="F9" s="24" t="s">
        <v>69</v>
      </c>
      <c r="G9" s="24"/>
      <c r="H9" s="25">
        <v>0</v>
      </c>
      <c r="I9" s="240"/>
      <c r="J9" s="240"/>
    </row>
    <row r="10" spans="1:10" s="23" customFormat="1" x14ac:dyDescent="0.35">
      <c r="A10" s="23">
        <v>7</v>
      </c>
      <c r="B10" s="23" t="s">
        <v>32</v>
      </c>
      <c r="C10" s="23" t="s">
        <v>36</v>
      </c>
      <c r="D10" s="23" t="s">
        <v>9</v>
      </c>
      <c r="E10" s="23" t="s">
        <v>7</v>
      </c>
      <c r="F10" s="24" t="s">
        <v>67</v>
      </c>
      <c r="G10" s="24"/>
      <c r="H10" s="25">
        <v>0</v>
      </c>
      <c r="I10" s="240" t="s">
        <v>45</v>
      </c>
      <c r="J10" s="240" t="s">
        <v>75</v>
      </c>
    </row>
    <row r="11" spans="1:10" s="23" customFormat="1" x14ac:dyDescent="0.35">
      <c r="A11" s="23">
        <v>8</v>
      </c>
      <c r="B11" s="23" t="s">
        <v>34</v>
      </c>
      <c r="C11" s="23" t="s">
        <v>36</v>
      </c>
      <c r="D11" s="23" t="s">
        <v>9</v>
      </c>
      <c r="E11" s="23" t="s">
        <v>7</v>
      </c>
      <c r="F11" s="24" t="s">
        <v>68</v>
      </c>
      <c r="G11" s="24"/>
      <c r="H11" s="25">
        <v>0</v>
      </c>
      <c r="I11" s="240"/>
      <c r="J11" s="240"/>
    </row>
    <row r="12" spans="1:10" s="23" customFormat="1" x14ac:dyDescent="0.35">
      <c r="A12" s="23">
        <v>9</v>
      </c>
      <c r="B12" s="23" t="s">
        <v>35</v>
      </c>
      <c r="C12" s="23" t="s">
        <v>36</v>
      </c>
      <c r="D12" s="23" t="s">
        <v>9</v>
      </c>
      <c r="E12" s="23" t="s">
        <v>7</v>
      </c>
      <c r="F12" s="24" t="s">
        <v>69</v>
      </c>
      <c r="G12" s="24"/>
      <c r="H12" s="25">
        <v>0</v>
      </c>
      <c r="I12" s="240"/>
      <c r="J12" s="240"/>
    </row>
    <row r="13" spans="1:10" ht="29" x14ac:dyDescent="0.35">
      <c r="A13">
        <v>10</v>
      </c>
      <c r="B13" s="4" t="s">
        <v>38</v>
      </c>
      <c r="C13" t="s">
        <v>37</v>
      </c>
      <c r="D13" t="s">
        <v>9</v>
      </c>
      <c r="E13" t="s">
        <v>7</v>
      </c>
      <c r="F13" s="4" t="s">
        <v>70</v>
      </c>
      <c r="G13" s="4" t="s">
        <v>86</v>
      </c>
      <c r="H13" s="6">
        <v>2</v>
      </c>
      <c r="I13" s="14" t="s">
        <v>74</v>
      </c>
      <c r="J13" s="14" t="s">
        <v>75</v>
      </c>
    </row>
    <row r="14" spans="1:10" ht="29" x14ac:dyDescent="0.35">
      <c r="A14">
        <v>11</v>
      </c>
      <c r="B14" t="s">
        <v>39</v>
      </c>
      <c r="C14" t="s">
        <v>37</v>
      </c>
      <c r="D14" t="s">
        <v>9</v>
      </c>
      <c r="E14" t="s">
        <v>7</v>
      </c>
      <c r="F14" t="s">
        <v>71</v>
      </c>
      <c r="H14" s="6">
        <v>2</v>
      </c>
      <c r="I14" s="14" t="s">
        <v>74</v>
      </c>
      <c r="J14" s="14" t="s">
        <v>75</v>
      </c>
    </row>
    <row r="15" spans="1:10" ht="29" x14ac:dyDescent="0.35">
      <c r="A15">
        <v>12</v>
      </c>
      <c r="B15" t="s">
        <v>40</v>
      </c>
      <c r="C15" t="s">
        <v>37</v>
      </c>
      <c r="D15" t="s">
        <v>9</v>
      </c>
      <c r="E15" t="s">
        <v>7</v>
      </c>
      <c r="F15" t="s">
        <v>72</v>
      </c>
      <c r="H15" s="6">
        <v>1</v>
      </c>
      <c r="I15" s="14" t="s">
        <v>74</v>
      </c>
      <c r="J15" s="14" t="s">
        <v>75</v>
      </c>
    </row>
    <row r="16" spans="1:10" ht="29" x14ac:dyDescent="0.35">
      <c r="A16">
        <v>13</v>
      </c>
      <c r="B16" t="s">
        <v>41</v>
      </c>
      <c r="C16" t="s">
        <v>37</v>
      </c>
      <c r="D16" t="s">
        <v>9</v>
      </c>
      <c r="E16" t="s">
        <v>7</v>
      </c>
      <c r="F16" t="s">
        <v>73</v>
      </c>
      <c r="H16" s="6">
        <v>2</v>
      </c>
      <c r="I16" s="14" t="s">
        <v>74</v>
      </c>
      <c r="J16" s="14" t="s">
        <v>75</v>
      </c>
    </row>
    <row r="17" spans="6:6" x14ac:dyDescent="0.35">
      <c r="F17" s="4"/>
    </row>
    <row r="18" spans="6:6" x14ac:dyDescent="0.35">
      <c r="F18" s="4"/>
    </row>
    <row r="19" spans="6:6" x14ac:dyDescent="0.35">
      <c r="F19" s="4"/>
    </row>
    <row r="20" spans="6:6" x14ac:dyDescent="0.35">
      <c r="F20" s="4"/>
    </row>
    <row r="21" spans="6:6" x14ac:dyDescent="0.35">
      <c r="F21" s="4"/>
    </row>
    <row r="22" spans="6:6" x14ac:dyDescent="0.35">
      <c r="F22" s="4"/>
    </row>
    <row r="23" spans="6:6" x14ac:dyDescent="0.35">
      <c r="F23" s="4"/>
    </row>
    <row r="24" spans="6:6" x14ac:dyDescent="0.35">
      <c r="F24" s="4"/>
    </row>
  </sheetData>
  <mergeCells count="5">
    <mergeCell ref="G2:H2"/>
    <mergeCell ref="I7:I9"/>
    <mergeCell ref="I10:I12"/>
    <mergeCell ref="J7:J9"/>
    <mergeCell ref="J10:J12"/>
  </mergeCells>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E69"/>
  <sheetViews>
    <sheetView topLeftCell="A10" zoomScale="58" zoomScaleNormal="60" workbookViewId="0">
      <selection activeCell="D18" sqref="D18"/>
    </sheetView>
  </sheetViews>
  <sheetFormatPr defaultRowHeight="14.5" x14ac:dyDescent="0.35"/>
  <cols>
    <col min="3" max="21" width="4.453125" customWidth="1"/>
    <col min="22" max="23" width="3.54296875" customWidth="1"/>
    <col min="24" max="24" width="7" bestFit="1" customWidth="1"/>
    <col min="25" max="25" width="8.6328125" customWidth="1"/>
    <col min="26" max="26" width="26.6328125" bestFit="1" customWidth="1"/>
    <col min="28" max="28" width="12.54296875" customWidth="1"/>
    <col min="31" max="31" width="30.81640625" customWidth="1"/>
    <col min="32" max="32" width="7.6328125" bestFit="1" customWidth="1"/>
    <col min="33" max="33" width="10.7265625" bestFit="1" customWidth="1"/>
    <col min="34" max="34" width="12" bestFit="1" customWidth="1"/>
    <col min="35" max="36" width="6.1796875" customWidth="1"/>
    <col min="37" max="37" width="12" bestFit="1" customWidth="1"/>
    <col min="38" max="38" width="6.1796875" customWidth="1"/>
    <col min="39" max="39" width="7.1796875" bestFit="1" customWidth="1"/>
    <col min="40" max="42" width="6.1796875" customWidth="1"/>
    <col min="43" max="43" width="7.453125" bestFit="1" customWidth="1"/>
    <col min="52" max="53" width="13.54296875" bestFit="1" customWidth="1"/>
    <col min="54" max="54" width="6" bestFit="1" customWidth="1"/>
    <col min="55" max="55" width="12" bestFit="1" customWidth="1"/>
    <col min="56" max="56" width="5.08984375" bestFit="1" customWidth="1"/>
  </cols>
  <sheetData>
    <row r="1" spans="1:29" ht="15" thickBot="1" x14ac:dyDescent="0.4">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15" thickBot="1" x14ac:dyDescent="0.4">
      <c r="A2" s="26"/>
      <c r="B2" s="26"/>
      <c r="C2" s="153"/>
      <c r="D2" s="27" t="s">
        <v>107</v>
      </c>
      <c r="E2" s="27"/>
      <c r="F2" s="27"/>
      <c r="G2" s="27"/>
      <c r="H2" s="27"/>
      <c r="I2" s="27"/>
      <c r="J2" s="27"/>
      <c r="K2" s="27"/>
      <c r="M2" s="27"/>
      <c r="N2" s="27"/>
      <c r="O2" s="27"/>
      <c r="P2" s="27"/>
      <c r="Q2" s="27"/>
      <c r="R2" s="27"/>
      <c r="S2" s="27"/>
      <c r="T2" s="27"/>
      <c r="U2" s="27"/>
      <c r="V2" s="27"/>
      <c r="W2" s="27"/>
      <c r="X2" s="27"/>
      <c r="Y2" s="27"/>
      <c r="Z2" s="27"/>
      <c r="AA2" s="27"/>
      <c r="AB2" s="26"/>
      <c r="AC2" s="26"/>
    </row>
    <row r="3" spans="1:29" ht="15" thickBot="1" x14ac:dyDescent="0.4">
      <c r="A3" s="26"/>
      <c r="B3" s="26"/>
      <c r="C3" s="154"/>
      <c r="D3" s="27" t="s">
        <v>108</v>
      </c>
      <c r="E3" s="27"/>
      <c r="F3" s="27"/>
      <c r="G3" s="27"/>
      <c r="H3" s="27"/>
      <c r="I3" s="27"/>
      <c r="J3" s="27"/>
      <c r="K3" s="27"/>
      <c r="M3" s="27"/>
      <c r="N3" s="27"/>
      <c r="O3" s="27"/>
      <c r="P3" s="27"/>
      <c r="Q3" s="27"/>
      <c r="R3" s="27"/>
      <c r="S3" s="27"/>
      <c r="T3" s="27"/>
      <c r="U3" s="27"/>
      <c r="V3" s="27"/>
      <c r="W3" s="27"/>
      <c r="X3" s="27"/>
      <c r="Y3" s="27"/>
      <c r="Z3" s="27"/>
      <c r="AA3" s="27"/>
      <c r="AB3" s="26"/>
      <c r="AC3" s="26"/>
    </row>
    <row r="4" spans="1:29" ht="15" thickBot="1" x14ac:dyDescent="0.4">
      <c r="A4" s="26"/>
      <c r="B4" s="26"/>
      <c r="C4" s="41"/>
      <c r="D4" s="27" t="s">
        <v>109</v>
      </c>
      <c r="E4" s="27"/>
      <c r="F4" s="27"/>
      <c r="G4" s="27"/>
      <c r="H4" s="27"/>
      <c r="I4" s="27"/>
      <c r="J4" s="27"/>
      <c r="K4" s="27"/>
      <c r="L4" s="27"/>
      <c r="M4" s="27"/>
      <c r="N4" s="27"/>
      <c r="O4" s="27"/>
      <c r="P4" s="27"/>
      <c r="Q4" s="27"/>
      <c r="R4" s="27"/>
      <c r="S4" s="27"/>
      <c r="T4" s="27"/>
      <c r="U4" s="27"/>
      <c r="V4" s="27"/>
      <c r="W4" s="27"/>
      <c r="X4" s="27"/>
      <c r="Y4" s="27"/>
      <c r="Z4" s="27"/>
      <c r="AA4" s="27"/>
      <c r="AB4" s="26"/>
      <c r="AC4" s="26"/>
    </row>
    <row r="5" spans="1:29" ht="15" thickBot="1" x14ac:dyDescent="0.4">
      <c r="A5" s="26"/>
      <c r="B5" s="26"/>
      <c r="C5" s="42"/>
      <c r="D5" s="27" t="s">
        <v>93</v>
      </c>
      <c r="E5" s="27"/>
      <c r="F5" s="27"/>
      <c r="G5" s="27"/>
      <c r="H5" s="27"/>
      <c r="I5" s="27"/>
      <c r="J5" s="27"/>
      <c r="K5" s="27"/>
      <c r="L5" s="27"/>
      <c r="M5" s="27"/>
      <c r="N5" s="27"/>
      <c r="O5" s="27"/>
      <c r="P5" s="27"/>
      <c r="Q5" s="27"/>
      <c r="R5" s="27"/>
      <c r="S5" s="27"/>
      <c r="T5" s="27"/>
      <c r="U5" s="27"/>
      <c r="V5" s="27"/>
      <c r="W5" s="27"/>
      <c r="X5" s="27"/>
      <c r="Y5" s="27"/>
      <c r="Z5" s="27"/>
      <c r="AA5" s="27"/>
      <c r="AB5" s="26"/>
      <c r="AC5" s="26"/>
    </row>
    <row r="6" spans="1:29" ht="15" thickBot="1" x14ac:dyDescent="0.4">
      <c r="A6" s="26"/>
      <c r="B6" s="26"/>
      <c r="C6" s="43"/>
      <c r="D6" s="27" t="s">
        <v>88</v>
      </c>
      <c r="E6" s="27"/>
      <c r="F6" s="27"/>
      <c r="G6" s="27"/>
      <c r="H6" s="27"/>
      <c r="I6" s="27"/>
      <c r="J6" s="27"/>
      <c r="K6" s="27"/>
      <c r="L6" s="27"/>
      <c r="M6" s="27"/>
      <c r="N6" s="27"/>
      <c r="O6" s="27"/>
      <c r="P6" s="27"/>
      <c r="Q6" s="27"/>
      <c r="R6" s="27"/>
      <c r="S6" s="27"/>
      <c r="T6" s="27"/>
      <c r="U6" s="27"/>
      <c r="V6" s="27"/>
      <c r="W6" s="27"/>
      <c r="X6" s="27"/>
      <c r="Y6" s="27"/>
      <c r="Z6" s="27"/>
      <c r="AA6" s="27"/>
      <c r="AB6" s="26"/>
      <c r="AC6" s="26"/>
    </row>
    <row r="7" spans="1:29" ht="15" thickBot="1" x14ac:dyDescent="0.4">
      <c r="A7" s="26"/>
      <c r="B7" s="26"/>
      <c r="C7" s="152"/>
      <c r="D7" s="27" t="s">
        <v>170</v>
      </c>
      <c r="E7" s="27"/>
      <c r="F7" s="27"/>
      <c r="G7" s="27"/>
      <c r="H7" s="27"/>
      <c r="I7" s="27"/>
      <c r="J7" s="27"/>
      <c r="K7" s="27"/>
      <c r="L7" s="27"/>
      <c r="M7" s="27"/>
      <c r="N7" s="27"/>
      <c r="O7" s="27"/>
      <c r="P7" s="27"/>
      <c r="Q7" s="27"/>
      <c r="R7" s="27"/>
      <c r="S7" s="27"/>
      <c r="T7" s="27"/>
      <c r="U7" s="27"/>
      <c r="V7" s="27"/>
      <c r="W7" s="27"/>
      <c r="X7" s="27"/>
      <c r="Y7" s="27"/>
      <c r="Z7" s="27"/>
      <c r="AA7" s="27"/>
      <c r="AB7" s="26"/>
      <c r="AC7" s="26"/>
    </row>
    <row r="8" spans="1:29" ht="15" thickBot="1" x14ac:dyDescent="0.4">
      <c r="A8" s="26"/>
      <c r="B8" s="26"/>
      <c r="C8" s="44"/>
      <c r="D8" s="27" t="s">
        <v>171</v>
      </c>
      <c r="E8" s="27"/>
      <c r="F8" s="27"/>
      <c r="G8" s="27"/>
      <c r="H8" s="27"/>
      <c r="I8" s="27"/>
      <c r="J8" s="27"/>
      <c r="K8" s="27"/>
      <c r="L8" s="27"/>
      <c r="M8" s="27"/>
      <c r="N8" s="27"/>
      <c r="O8" s="27"/>
      <c r="P8" s="27"/>
      <c r="Q8" s="27"/>
      <c r="R8" s="27"/>
      <c r="S8" s="27"/>
      <c r="T8" s="27"/>
      <c r="U8" s="27"/>
      <c r="V8" s="27"/>
      <c r="W8" s="27"/>
      <c r="X8" s="27"/>
      <c r="Y8" s="27"/>
      <c r="Z8" s="27"/>
      <c r="AA8" s="27"/>
      <c r="AB8" s="26"/>
      <c r="AC8" s="26"/>
    </row>
    <row r="9" spans="1:29" x14ac:dyDescent="0.35">
      <c r="A9" s="26"/>
      <c r="B9" s="40"/>
      <c r="C9" s="27"/>
      <c r="D9" s="27"/>
      <c r="E9" s="27"/>
      <c r="F9" s="27"/>
      <c r="G9" s="27"/>
      <c r="H9" s="27"/>
      <c r="I9" s="27"/>
      <c r="J9" s="27"/>
      <c r="K9" s="27"/>
      <c r="L9" s="27"/>
      <c r="M9" s="27"/>
      <c r="N9" s="27"/>
      <c r="O9" s="27"/>
      <c r="P9" s="27"/>
      <c r="Q9" s="27"/>
      <c r="R9" s="27"/>
      <c r="S9" s="27"/>
      <c r="T9" s="27"/>
      <c r="U9" s="27"/>
      <c r="V9" s="27"/>
      <c r="W9" s="27"/>
      <c r="X9" s="27"/>
      <c r="Y9" s="27"/>
      <c r="Z9" s="27"/>
      <c r="AA9" s="27"/>
      <c r="AB9" s="27"/>
      <c r="AC9" s="27"/>
    </row>
    <row r="10" spans="1:29" ht="15" thickBot="1" x14ac:dyDescent="0.4">
      <c r="A10" s="26"/>
      <c r="B10" s="26"/>
      <c r="C10" s="27"/>
      <c r="D10" s="27"/>
      <c r="E10" s="27"/>
      <c r="F10" s="27"/>
      <c r="G10" s="27"/>
      <c r="H10" s="27"/>
      <c r="I10" s="27"/>
      <c r="J10" s="27"/>
      <c r="K10" s="27"/>
      <c r="L10" s="27"/>
      <c r="M10" s="27"/>
      <c r="N10" s="27"/>
      <c r="O10" s="27"/>
      <c r="P10" s="27"/>
      <c r="Q10" s="27"/>
      <c r="R10" s="27"/>
      <c r="S10" s="27"/>
      <c r="T10" s="27"/>
      <c r="U10" s="27"/>
      <c r="V10" s="27"/>
      <c r="W10" s="27"/>
      <c r="X10" s="27"/>
      <c r="Y10" s="39"/>
      <c r="Z10" s="39"/>
      <c r="AA10" s="39"/>
      <c r="AB10" s="39"/>
      <c r="AC10" s="39"/>
    </row>
    <row r="11" spans="1:29" ht="15" thickBot="1" x14ac:dyDescent="0.4">
      <c r="A11" s="26"/>
      <c r="B11" s="26"/>
      <c r="C11" s="243" t="s">
        <v>175</v>
      </c>
      <c r="D11" s="244"/>
      <c r="E11" s="244"/>
      <c r="F11" s="244"/>
      <c r="G11" s="244"/>
      <c r="H11" s="244"/>
      <c r="I11" s="244"/>
      <c r="J11" s="244"/>
      <c r="K11" s="244"/>
      <c r="L11" s="244"/>
      <c r="M11" s="244"/>
      <c r="N11" s="244"/>
      <c r="O11" s="244"/>
      <c r="P11" s="244"/>
      <c r="Q11" s="244"/>
      <c r="R11" s="244"/>
      <c r="S11" s="244"/>
      <c r="T11" s="244"/>
      <c r="U11" s="244"/>
      <c r="V11" s="245"/>
      <c r="W11" s="27"/>
      <c r="X11" s="27"/>
      <c r="Y11" s="128"/>
      <c r="Z11" s="128"/>
      <c r="AA11" s="128"/>
      <c r="AB11" s="27"/>
      <c r="AC11" s="27"/>
    </row>
    <row r="12" spans="1:29" ht="15" thickBot="1" x14ac:dyDescent="0.4">
      <c r="A12" s="26"/>
      <c r="B12" s="26"/>
      <c r="C12" s="243" t="s">
        <v>95</v>
      </c>
      <c r="D12" s="244"/>
      <c r="E12" s="244"/>
      <c r="F12" s="244"/>
      <c r="G12" s="244"/>
      <c r="H12" s="244"/>
      <c r="I12" s="244"/>
      <c r="J12" s="244"/>
      <c r="K12" s="244"/>
      <c r="L12" s="244"/>
      <c r="M12" s="244"/>
      <c r="N12" s="244"/>
      <c r="O12" s="246"/>
      <c r="P12" s="246"/>
      <c r="Q12" s="246"/>
      <c r="R12" s="246"/>
      <c r="S12" s="244"/>
      <c r="T12" s="244"/>
      <c r="U12" s="244"/>
      <c r="V12" s="245"/>
      <c r="W12" s="27"/>
      <c r="X12" s="27"/>
      <c r="Y12" s="128"/>
      <c r="Z12" s="128"/>
      <c r="AA12" s="128"/>
      <c r="AB12" s="27"/>
      <c r="AC12" s="27"/>
    </row>
    <row r="13" spans="1:29" ht="15" thickBot="1" x14ac:dyDescent="0.4">
      <c r="A13" s="26"/>
      <c r="B13" s="94" t="s">
        <v>116</v>
      </c>
      <c r="C13" s="247" t="s">
        <v>96</v>
      </c>
      <c r="D13" s="248"/>
      <c r="E13" s="248"/>
      <c r="F13" s="249"/>
      <c r="G13" s="247" t="s">
        <v>97</v>
      </c>
      <c r="H13" s="248"/>
      <c r="I13" s="248"/>
      <c r="J13" s="249"/>
      <c r="K13" s="247" t="s">
        <v>98</v>
      </c>
      <c r="L13" s="248"/>
      <c r="M13" s="248"/>
      <c r="N13" s="250"/>
      <c r="O13" s="251" t="s">
        <v>99</v>
      </c>
      <c r="P13" s="252"/>
      <c r="Q13" s="252"/>
      <c r="R13" s="253"/>
      <c r="S13" s="254" t="s">
        <v>100</v>
      </c>
      <c r="T13" s="252"/>
      <c r="U13" s="252"/>
      <c r="V13" s="253"/>
      <c r="W13" s="27"/>
      <c r="X13" s="27"/>
      <c r="Y13" s="128"/>
      <c r="Z13" s="128"/>
      <c r="AA13" s="128"/>
      <c r="AB13" s="27"/>
      <c r="AC13" s="27"/>
    </row>
    <row r="14" spans="1:29" ht="15" thickBot="1" x14ac:dyDescent="0.4">
      <c r="A14" s="26"/>
      <c r="B14" s="95"/>
      <c r="C14" s="129">
        <v>1</v>
      </c>
      <c r="D14" s="28">
        <v>2</v>
      </c>
      <c r="E14" s="28">
        <v>3</v>
      </c>
      <c r="F14" s="130">
        <v>4</v>
      </c>
      <c r="G14" s="129">
        <v>5</v>
      </c>
      <c r="H14" s="28">
        <v>6</v>
      </c>
      <c r="I14" s="28">
        <v>7</v>
      </c>
      <c r="J14" s="130">
        <v>8</v>
      </c>
      <c r="K14" s="129">
        <v>9</v>
      </c>
      <c r="L14" s="28">
        <v>10</v>
      </c>
      <c r="M14" s="28">
        <v>11</v>
      </c>
      <c r="N14" s="163">
        <v>12</v>
      </c>
      <c r="O14" s="129">
        <v>13</v>
      </c>
      <c r="P14" s="28">
        <v>14</v>
      </c>
      <c r="Q14" s="28">
        <v>15</v>
      </c>
      <c r="R14" s="130">
        <v>16</v>
      </c>
      <c r="S14" s="172">
        <v>17</v>
      </c>
      <c r="T14" s="28">
        <v>18</v>
      </c>
      <c r="U14" s="28">
        <v>19</v>
      </c>
      <c r="V14" s="130">
        <v>20</v>
      </c>
      <c r="W14" s="27"/>
      <c r="X14" s="27"/>
      <c r="Y14" s="128"/>
      <c r="Z14" s="128"/>
      <c r="AA14" s="128"/>
      <c r="AB14" s="27"/>
      <c r="AC14" s="27"/>
    </row>
    <row r="15" spans="1:29" ht="15" thickBot="1" x14ac:dyDescent="0.4">
      <c r="A15" s="26"/>
      <c r="B15" s="26">
        <v>0</v>
      </c>
      <c r="C15" s="155"/>
      <c r="D15" s="28"/>
      <c r="E15" s="28"/>
      <c r="F15" s="130"/>
      <c r="G15" s="129"/>
      <c r="H15" s="28"/>
      <c r="I15" s="28"/>
      <c r="J15" s="130"/>
      <c r="K15" s="129"/>
      <c r="L15" s="28"/>
      <c r="M15" s="28"/>
      <c r="N15" s="163"/>
      <c r="O15" s="175"/>
      <c r="P15" s="29"/>
      <c r="Q15" s="29"/>
      <c r="R15" s="132"/>
      <c r="S15" s="172"/>
      <c r="T15" s="28"/>
      <c r="U15" s="28"/>
      <c r="V15" s="130"/>
      <c r="W15" s="27"/>
      <c r="X15" s="27"/>
      <c r="Y15" s="128"/>
      <c r="Z15" s="128"/>
      <c r="AA15" s="27"/>
      <c r="AB15" s="27"/>
      <c r="AC15" s="27"/>
    </row>
    <row r="16" spans="1:29" ht="15" thickBot="1" x14ac:dyDescent="0.4">
      <c r="A16" s="26"/>
      <c r="B16" s="84">
        <v>15</v>
      </c>
      <c r="C16" s="155">
        <v>5</v>
      </c>
      <c r="D16" s="155">
        <v>5</v>
      </c>
      <c r="E16" s="155">
        <v>5</v>
      </c>
      <c r="F16" s="147"/>
      <c r="G16" s="148"/>
      <c r="H16" s="145"/>
      <c r="I16" s="145"/>
      <c r="J16" s="149"/>
      <c r="K16" s="148"/>
      <c r="L16" s="145"/>
      <c r="M16" s="29"/>
      <c r="N16" s="171"/>
      <c r="O16" s="135"/>
      <c r="P16" s="30"/>
      <c r="Q16" s="30"/>
      <c r="R16" s="131"/>
      <c r="S16" s="173"/>
      <c r="T16" s="30"/>
      <c r="U16" s="30"/>
      <c r="V16" s="131"/>
      <c r="W16" s="27"/>
      <c r="X16" s="27"/>
      <c r="Y16" s="128"/>
      <c r="Z16" s="128"/>
      <c r="AA16" s="27"/>
      <c r="AB16" s="27"/>
      <c r="AC16" s="27"/>
    </row>
    <row r="17" spans="1:40" ht="15.75" customHeight="1" thickBot="1" x14ac:dyDescent="0.4">
      <c r="A17" s="159"/>
      <c r="B17" s="84">
        <v>33</v>
      </c>
      <c r="C17" s="145"/>
      <c r="D17" s="145"/>
      <c r="E17" s="145"/>
      <c r="F17" s="150">
        <v>5</v>
      </c>
      <c r="G17" s="150">
        <v>5</v>
      </c>
      <c r="H17" s="150">
        <v>5</v>
      </c>
      <c r="I17" s="150">
        <v>5</v>
      </c>
      <c r="J17" s="150">
        <v>5</v>
      </c>
      <c r="K17" s="150">
        <v>5</v>
      </c>
      <c r="L17" s="150">
        <v>3</v>
      </c>
      <c r="M17" s="30"/>
      <c r="N17" s="164"/>
      <c r="O17" s="135"/>
      <c r="P17" s="30"/>
      <c r="Q17" s="30"/>
      <c r="R17" s="131"/>
      <c r="S17" s="173"/>
      <c r="T17" s="30"/>
      <c r="U17" s="30"/>
      <c r="V17" s="131"/>
      <c r="W17" s="27"/>
      <c r="X17" s="27"/>
      <c r="Y17" s="128"/>
      <c r="Z17" s="128"/>
      <c r="AA17" s="27"/>
      <c r="AB17" s="27"/>
      <c r="AC17" s="27"/>
    </row>
    <row r="18" spans="1:40" ht="15" thickBot="1" x14ac:dyDescent="0.4">
      <c r="A18" s="26"/>
      <c r="B18" s="84">
        <v>12</v>
      </c>
      <c r="C18" s="148"/>
      <c r="D18" s="145"/>
      <c r="E18" s="145"/>
      <c r="F18" s="147"/>
      <c r="G18" s="148"/>
      <c r="H18" s="261"/>
      <c r="I18" s="145"/>
      <c r="J18" s="149"/>
      <c r="K18" s="146"/>
      <c r="L18" s="151">
        <v>2</v>
      </c>
      <c r="M18" s="151">
        <v>5</v>
      </c>
      <c r="N18" s="151">
        <v>5</v>
      </c>
      <c r="O18" s="135"/>
      <c r="P18" s="30"/>
      <c r="Q18" s="30"/>
      <c r="R18" s="131"/>
      <c r="S18" s="173"/>
      <c r="T18" s="30"/>
      <c r="U18" s="30"/>
      <c r="V18" s="131"/>
      <c r="W18" s="27"/>
      <c r="X18" s="27"/>
      <c r="Y18" s="128"/>
      <c r="Z18" s="128"/>
      <c r="AA18" s="27"/>
      <c r="AB18" s="27"/>
      <c r="AC18" s="27"/>
    </row>
    <row r="19" spans="1:40" ht="15" thickBot="1" x14ac:dyDescent="0.4">
      <c r="A19" s="26"/>
      <c r="B19" s="84">
        <v>18</v>
      </c>
      <c r="C19" s="148"/>
      <c r="D19" s="145"/>
      <c r="E19" s="145"/>
      <c r="F19" s="147"/>
      <c r="G19" s="148"/>
      <c r="H19" s="261"/>
      <c r="I19" s="145"/>
      <c r="J19" s="149"/>
      <c r="K19" s="148"/>
      <c r="L19" s="261"/>
      <c r="M19" s="145"/>
      <c r="N19" s="149"/>
      <c r="O19" s="156">
        <v>5</v>
      </c>
      <c r="P19" s="156">
        <v>5</v>
      </c>
      <c r="Q19" s="156">
        <v>5</v>
      </c>
      <c r="R19" s="156">
        <v>3</v>
      </c>
      <c r="S19" s="173"/>
      <c r="T19" s="30"/>
      <c r="U19" s="30"/>
      <c r="V19" s="131"/>
      <c r="W19" s="27"/>
      <c r="X19" s="27"/>
      <c r="Y19" s="128"/>
      <c r="Z19" s="128"/>
      <c r="AA19" s="27"/>
      <c r="AB19" s="27"/>
      <c r="AC19" s="27"/>
    </row>
    <row r="20" spans="1:40" ht="15" thickBot="1" x14ac:dyDescent="0.4">
      <c r="A20" s="26"/>
      <c r="B20" s="84">
        <v>7</v>
      </c>
      <c r="C20" s="148"/>
      <c r="D20" s="145"/>
      <c r="E20" s="145"/>
      <c r="F20" s="147"/>
      <c r="G20" s="148"/>
      <c r="H20" s="261"/>
      <c r="I20" s="261"/>
      <c r="J20" s="262"/>
      <c r="K20" s="148"/>
      <c r="L20" s="261"/>
      <c r="M20" s="145"/>
      <c r="N20" s="149"/>
      <c r="O20" s="135"/>
      <c r="P20" s="30"/>
      <c r="Q20" s="30"/>
      <c r="R20" s="152">
        <v>2</v>
      </c>
      <c r="S20" s="152">
        <v>5</v>
      </c>
      <c r="T20" s="30"/>
      <c r="U20" s="30"/>
      <c r="V20" s="131"/>
      <c r="W20" s="27"/>
      <c r="X20" s="27"/>
      <c r="Y20" s="128"/>
      <c r="Z20" s="128"/>
      <c r="AA20" s="27"/>
      <c r="AB20" s="27"/>
      <c r="AC20" s="27"/>
    </row>
    <row r="21" spans="1:40" ht="15" thickBot="1" x14ac:dyDescent="0.4">
      <c r="A21" s="26"/>
      <c r="B21" s="84">
        <v>10</v>
      </c>
      <c r="C21" s="133"/>
      <c r="D21" s="138"/>
      <c r="E21" s="138"/>
      <c r="F21" s="160"/>
      <c r="G21" s="176"/>
      <c r="H21" s="177"/>
      <c r="I21" s="31"/>
      <c r="J21" s="134"/>
      <c r="K21" s="176"/>
      <c r="L21" s="177"/>
      <c r="M21" s="31"/>
      <c r="N21" s="134"/>
      <c r="O21" s="176"/>
      <c r="P21" s="177"/>
      <c r="Q21" s="31"/>
      <c r="R21" s="134"/>
      <c r="S21" s="174"/>
      <c r="T21" s="165">
        <v>5</v>
      </c>
      <c r="U21" s="165">
        <v>5</v>
      </c>
      <c r="V21" s="134"/>
      <c r="W21" s="27"/>
      <c r="X21" s="27"/>
      <c r="Y21" s="128"/>
      <c r="Z21" s="128"/>
      <c r="AA21" s="27"/>
      <c r="AB21" s="27"/>
      <c r="AC21" s="27"/>
    </row>
    <row r="22" spans="1:40" ht="15" thickBot="1" x14ac:dyDescent="0.4">
      <c r="A22" s="26"/>
      <c r="B22" s="32"/>
      <c r="C22" s="27"/>
      <c r="D22" s="27"/>
      <c r="E22" s="27"/>
      <c r="F22" s="27"/>
      <c r="G22" s="27"/>
      <c r="H22" s="27"/>
      <c r="I22" s="27"/>
      <c r="J22" s="27"/>
      <c r="K22" s="27"/>
      <c r="L22" s="27"/>
      <c r="M22" s="27"/>
      <c r="N22" s="27"/>
      <c r="O22" s="27"/>
      <c r="P22" s="27"/>
      <c r="Q22" s="27"/>
      <c r="R22" s="27"/>
      <c r="S22" s="27"/>
      <c r="T22" s="27"/>
      <c r="U22" s="27"/>
      <c r="V22" s="27"/>
      <c r="W22" s="27"/>
      <c r="X22" s="27"/>
      <c r="Y22" s="128"/>
      <c r="Z22" s="128"/>
      <c r="AA22" s="27"/>
      <c r="AB22" s="27"/>
      <c r="AC22" s="27"/>
    </row>
    <row r="23" spans="1:40" ht="15" thickBot="1" x14ac:dyDescent="0.4">
      <c r="A23" s="26"/>
      <c r="B23" s="33"/>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136" t="s">
        <v>94</v>
      </c>
      <c r="AE23" s="137" t="s">
        <v>101</v>
      </c>
      <c r="AF23" s="136" t="s">
        <v>161</v>
      </c>
      <c r="AG23" s="137" t="s">
        <v>162</v>
      </c>
      <c r="AH23" s="139" t="s">
        <v>172</v>
      </c>
      <c r="AJ23" s="136" t="s">
        <v>94</v>
      </c>
      <c r="AK23" s="161" t="s">
        <v>173</v>
      </c>
      <c r="AL23" s="123"/>
      <c r="AM23" s="123"/>
      <c r="AN23" s="125"/>
    </row>
    <row r="24" spans="1:40" x14ac:dyDescent="0.35">
      <c r="A24" s="26">
        <v>18</v>
      </c>
      <c r="B24" s="34" t="s">
        <v>89</v>
      </c>
      <c r="C24" s="53">
        <v>17</v>
      </c>
      <c r="D24" s="53"/>
      <c r="E24" s="53"/>
      <c r="F24" s="53"/>
      <c r="G24" s="53"/>
      <c r="H24" s="53"/>
      <c r="I24" s="53"/>
      <c r="J24" s="53"/>
      <c r="K24" s="53"/>
      <c r="L24" s="53"/>
      <c r="M24" s="157"/>
      <c r="N24" s="157"/>
      <c r="O24" s="157"/>
      <c r="P24" s="157"/>
      <c r="Q24" s="157"/>
      <c r="R24" s="157"/>
      <c r="S24" s="157"/>
      <c r="T24" s="157"/>
      <c r="U24" s="157"/>
      <c r="V24" s="157"/>
      <c r="W24" s="30"/>
      <c r="X24" s="30"/>
      <c r="Y24" s="30"/>
      <c r="Z24" s="30"/>
      <c r="AA24" s="27"/>
      <c r="AB24" s="27"/>
      <c r="AC24" s="27"/>
      <c r="AD24" s="36" t="s">
        <v>89</v>
      </c>
      <c r="AE24" s="37">
        <f>SUM(C24:V24)</f>
        <v>17</v>
      </c>
      <c r="AF24" s="49">
        <v>4000</v>
      </c>
      <c r="AG24" s="50">
        <f>AF24*AE24</f>
        <v>68000</v>
      </c>
      <c r="AH24" s="158">
        <f>110%*AE24</f>
        <v>18.700000000000003</v>
      </c>
      <c r="AJ24" s="36" t="s">
        <v>89</v>
      </c>
      <c r="AK24" s="162">
        <v>12</v>
      </c>
      <c r="AL24" s="123"/>
      <c r="AM24" s="123"/>
      <c r="AN24" s="125"/>
    </row>
    <row r="25" spans="1:40" x14ac:dyDescent="0.35">
      <c r="A25" s="26">
        <v>20</v>
      </c>
      <c r="B25" s="34" t="s">
        <v>91</v>
      </c>
      <c r="C25" s="53">
        <v>23</v>
      </c>
      <c r="D25" s="53"/>
      <c r="E25" s="53"/>
      <c r="F25" s="53"/>
      <c r="G25" s="53"/>
      <c r="H25" s="53"/>
      <c r="I25" s="53"/>
      <c r="J25" s="53"/>
      <c r="K25" s="53"/>
      <c r="L25" s="53"/>
      <c r="M25" s="157"/>
      <c r="N25" s="157"/>
      <c r="O25" s="157"/>
      <c r="P25" s="157"/>
      <c r="Q25" s="157"/>
      <c r="R25" s="157"/>
      <c r="S25" s="157"/>
      <c r="T25" s="157"/>
      <c r="U25" s="157"/>
      <c r="V25" s="157"/>
      <c r="W25" s="30"/>
      <c r="X25" s="30"/>
      <c r="Y25" s="30"/>
      <c r="Z25" s="30"/>
      <c r="AA25" s="27"/>
      <c r="AB25" s="27"/>
      <c r="AC25" s="27"/>
      <c r="AD25" s="38" t="s">
        <v>91</v>
      </c>
      <c r="AE25" s="37">
        <f t="shared" ref="AE25:AE30" si="0">SUM(C25:V25)</f>
        <v>23</v>
      </c>
      <c r="AF25" s="49">
        <v>4000</v>
      </c>
      <c r="AG25" s="50">
        <f t="shared" ref="AG25:AG29" si="1">AF25*AE25</f>
        <v>92000</v>
      </c>
      <c r="AH25" s="158">
        <f t="shared" ref="AH25:AH30" si="2">110%*AE25</f>
        <v>25.3</v>
      </c>
      <c r="AJ25" s="38" t="s">
        <v>91</v>
      </c>
      <c r="AK25" s="162">
        <v>12</v>
      </c>
      <c r="AL25" s="123"/>
      <c r="AM25" s="123"/>
      <c r="AN25" s="125"/>
    </row>
    <row r="26" spans="1:40" x14ac:dyDescent="0.35">
      <c r="A26" s="26">
        <v>57</v>
      </c>
      <c r="B26" s="34" t="s">
        <v>92</v>
      </c>
      <c r="C26" s="53">
        <v>68</v>
      </c>
      <c r="D26" s="53"/>
      <c r="E26" s="53"/>
      <c r="F26" s="53"/>
      <c r="G26" s="53"/>
      <c r="H26" s="53"/>
      <c r="I26" s="53"/>
      <c r="J26" s="53"/>
      <c r="K26" s="53"/>
      <c r="L26" s="53"/>
      <c r="M26" s="157"/>
      <c r="N26" s="157"/>
      <c r="O26" s="157"/>
      <c r="P26" s="157"/>
      <c r="Q26" s="157"/>
      <c r="R26" s="157"/>
      <c r="S26" s="157"/>
      <c r="T26" s="157"/>
      <c r="U26" s="157"/>
      <c r="V26" s="157"/>
      <c r="W26" s="30"/>
      <c r="X26" s="30"/>
      <c r="Y26" s="30"/>
      <c r="Z26" s="30"/>
      <c r="AA26" s="27"/>
      <c r="AB26" s="27"/>
      <c r="AC26" s="27"/>
      <c r="AD26" s="38" t="s">
        <v>92</v>
      </c>
      <c r="AE26" s="37">
        <f t="shared" si="0"/>
        <v>68</v>
      </c>
      <c r="AF26" s="49">
        <v>4000</v>
      </c>
      <c r="AG26" s="50">
        <f t="shared" si="1"/>
        <v>272000</v>
      </c>
      <c r="AH26" s="158">
        <f t="shared" si="2"/>
        <v>74.800000000000011</v>
      </c>
      <c r="AJ26" s="38" t="s">
        <v>92</v>
      </c>
      <c r="AK26" s="162">
        <v>35</v>
      </c>
      <c r="AL26" s="123"/>
      <c r="AM26" s="168">
        <f>AE26*8/5</f>
        <v>108.8</v>
      </c>
      <c r="AN26" s="125"/>
    </row>
    <row r="27" spans="1:40" x14ac:dyDescent="0.35">
      <c r="A27" s="26">
        <v>39</v>
      </c>
      <c r="B27" s="34" t="s">
        <v>102</v>
      </c>
      <c r="C27" s="53">
        <v>77</v>
      </c>
      <c r="D27" s="53"/>
      <c r="E27" s="53"/>
      <c r="F27" s="53"/>
      <c r="G27" s="53"/>
      <c r="H27" s="53"/>
      <c r="I27" s="53"/>
      <c r="J27" s="53"/>
      <c r="K27" s="53"/>
      <c r="L27" s="53"/>
      <c r="M27" s="157"/>
      <c r="N27" s="157"/>
      <c r="O27" s="157"/>
      <c r="P27" s="157"/>
      <c r="Q27" s="157"/>
      <c r="R27" s="157"/>
      <c r="S27" s="157"/>
      <c r="T27" s="157"/>
      <c r="U27" s="157"/>
      <c r="V27" s="157"/>
      <c r="W27" s="30"/>
      <c r="X27" s="30"/>
      <c r="Y27" s="30"/>
      <c r="Z27" s="30"/>
      <c r="AA27" s="27"/>
      <c r="AB27" s="27"/>
      <c r="AC27" s="27"/>
      <c r="AD27" s="38" t="s">
        <v>102</v>
      </c>
      <c r="AE27" s="37">
        <f t="shared" si="0"/>
        <v>77</v>
      </c>
      <c r="AF27" s="49">
        <v>4000</v>
      </c>
      <c r="AG27" s="50">
        <f t="shared" si="1"/>
        <v>308000</v>
      </c>
      <c r="AH27" s="158">
        <f t="shared" si="2"/>
        <v>84.7</v>
      </c>
      <c r="AJ27" s="38" t="s">
        <v>102</v>
      </c>
      <c r="AK27" s="162">
        <v>60</v>
      </c>
      <c r="AL27" s="123"/>
      <c r="AM27" s="168">
        <f>AE27*8/5</f>
        <v>123.2</v>
      </c>
      <c r="AN27" s="125"/>
    </row>
    <row r="28" spans="1:40" x14ac:dyDescent="0.35">
      <c r="A28" s="26">
        <v>26</v>
      </c>
      <c r="B28" s="34" t="s">
        <v>103</v>
      </c>
      <c r="C28" s="53">
        <v>0</v>
      </c>
      <c r="D28" s="53"/>
      <c r="E28" s="53"/>
      <c r="F28" s="53"/>
      <c r="G28" s="53"/>
      <c r="H28" s="53"/>
      <c r="I28" s="53"/>
      <c r="J28" s="53"/>
      <c r="K28" s="53"/>
      <c r="L28" s="53"/>
      <c r="M28" s="157"/>
      <c r="N28" s="157"/>
      <c r="O28" s="157"/>
      <c r="P28" s="157"/>
      <c r="Q28" s="157"/>
      <c r="R28" s="157"/>
      <c r="S28" s="157"/>
      <c r="T28" s="157"/>
      <c r="U28" s="157"/>
      <c r="V28" s="157"/>
      <c r="W28" s="30"/>
      <c r="X28" s="30"/>
      <c r="Y28" s="30"/>
      <c r="Z28" s="30"/>
      <c r="AA28" s="27"/>
      <c r="AB28" s="27"/>
      <c r="AC28" s="27"/>
      <c r="AD28" s="38" t="s">
        <v>103</v>
      </c>
      <c r="AE28" s="37">
        <f t="shared" si="0"/>
        <v>0</v>
      </c>
      <c r="AF28" s="49">
        <v>4000</v>
      </c>
      <c r="AG28" s="50">
        <f t="shared" si="1"/>
        <v>0</v>
      </c>
      <c r="AH28" s="158">
        <f t="shared" si="2"/>
        <v>0</v>
      </c>
      <c r="AJ28" s="38" t="s">
        <v>103</v>
      </c>
      <c r="AK28" s="162">
        <v>56</v>
      </c>
      <c r="AM28" s="168">
        <f t="shared" ref="AM28" si="3">AE28*8/3</f>
        <v>0</v>
      </c>
      <c r="AN28" s="125"/>
    </row>
    <row r="29" spans="1:40" x14ac:dyDescent="0.35">
      <c r="A29" s="26">
        <v>12</v>
      </c>
      <c r="B29" s="34" t="s">
        <v>90</v>
      </c>
      <c r="C29" s="53">
        <v>16</v>
      </c>
      <c r="D29" s="53"/>
      <c r="E29" s="53"/>
      <c r="F29" s="53"/>
      <c r="G29" s="53"/>
      <c r="H29" s="53"/>
      <c r="I29" s="53"/>
      <c r="J29" s="53"/>
      <c r="K29" s="157"/>
      <c r="L29" s="157"/>
      <c r="M29" s="157"/>
      <c r="N29" s="157"/>
      <c r="O29" s="157"/>
      <c r="P29" s="157"/>
      <c r="Q29" s="157"/>
      <c r="R29" s="157"/>
      <c r="S29" s="157"/>
      <c r="T29" s="157"/>
      <c r="U29" s="157"/>
      <c r="V29" s="157"/>
      <c r="W29" s="30"/>
      <c r="X29" s="30"/>
      <c r="Y29" s="30"/>
      <c r="Z29" s="30"/>
      <c r="AA29" s="27"/>
      <c r="AB29" s="27"/>
      <c r="AC29" s="27"/>
      <c r="AD29" s="38" t="s">
        <v>90</v>
      </c>
      <c r="AE29" s="37">
        <f t="shared" si="0"/>
        <v>16</v>
      </c>
      <c r="AF29" s="49">
        <v>4000</v>
      </c>
      <c r="AG29" s="50">
        <f t="shared" si="1"/>
        <v>64000</v>
      </c>
      <c r="AH29" s="158">
        <f t="shared" si="2"/>
        <v>17.600000000000001</v>
      </c>
      <c r="AJ29" s="38" t="s">
        <v>90</v>
      </c>
      <c r="AK29" s="162">
        <v>15</v>
      </c>
      <c r="AL29" s="124"/>
      <c r="AM29" s="123"/>
      <c r="AN29" s="125"/>
    </row>
    <row r="30" spans="1:40" ht="15" thickBot="1" x14ac:dyDescent="0.4">
      <c r="A30" s="26"/>
      <c r="B30" s="34" t="s">
        <v>104</v>
      </c>
      <c r="C30" s="35"/>
      <c r="D30" s="35"/>
      <c r="E30" s="35"/>
      <c r="F30" s="35"/>
      <c r="G30" s="35"/>
      <c r="H30" s="35"/>
      <c r="I30" s="35"/>
      <c r="J30" s="35"/>
      <c r="K30" s="157"/>
      <c r="L30" s="157"/>
      <c r="M30" s="157"/>
      <c r="N30" s="157"/>
      <c r="O30" s="157"/>
      <c r="P30" s="157"/>
      <c r="Q30" s="157"/>
      <c r="R30" s="157"/>
      <c r="S30" s="157"/>
      <c r="T30" s="157"/>
      <c r="U30" s="157"/>
      <c r="V30" s="157"/>
      <c r="W30" s="30"/>
      <c r="X30" s="30"/>
      <c r="Y30" s="30"/>
      <c r="Z30" s="30"/>
      <c r="AA30" s="27"/>
      <c r="AB30" s="27"/>
      <c r="AC30" s="27"/>
      <c r="AD30" s="47" t="s">
        <v>104</v>
      </c>
      <c r="AE30" s="37">
        <f t="shared" si="0"/>
        <v>0</v>
      </c>
      <c r="AF30" s="45"/>
      <c r="AG30" s="48"/>
      <c r="AH30" s="158">
        <f t="shared" si="2"/>
        <v>0</v>
      </c>
      <c r="AK30" s="166"/>
    </row>
    <row r="31" spans="1:40" ht="16" thickBot="1" x14ac:dyDescent="0.4">
      <c r="A31" s="26"/>
      <c r="B31" s="34"/>
      <c r="C31" s="34"/>
      <c r="D31" s="34"/>
      <c r="E31" s="34"/>
      <c r="F31" s="34"/>
      <c r="G31" s="34"/>
      <c r="H31" s="34"/>
      <c r="I31" s="34"/>
      <c r="J31" s="34"/>
      <c r="K31" s="34"/>
      <c r="L31" s="34"/>
      <c r="M31" s="34"/>
      <c r="N31" s="34"/>
      <c r="O31" s="34"/>
      <c r="P31" s="34"/>
      <c r="Q31" s="34"/>
      <c r="R31" s="34"/>
      <c r="S31" s="34"/>
      <c r="T31" s="34"/>
      <c r="U31" s="34"/>
      <c r="V31" s="34"/>
      <c r="W31" s="27"/>
      <c r="X31" s="27"/>
      <c r="Y31" s="27"/>
      <c r="Z31" s="27"/>
      <c r="AA31" s="27"/>
      <c r="AB31" s="27"/>
      <c r="AC31" s="27"/>
      <c r="AD31" s="46" t="s">
        <v>105</v>
      </c>
      <c r="AE31" s="52">
        <f>SUM(AE24:AE30)</f>
        <v>201</v>
      </c>
      <c r="AF31" s="51"/>
      <c r="AG31" s="52">
        <f>SUM(AG24:AG30)</f>
        <v>804000</v>
      </c>
      <c r="AH31" s="139">
        <f>SUM(AH24:AH30)</f>
        <v>221.1</v>
      </c>
      <c r="AJ31" s="139"/>
      <c r="AK31" s="162">
        <f>SUM(AK24:AK29)</f>
        <v>190</v>
      </c>
    </row>
    <row r="32" spans="1:40" x14ac:dyDescent="0.35">
      <c r="A32" s="26"/>
      <c r="B32" s="34"/>
      <c r="C32" s="34"/>
      <c r="D32" s="34"/>
      <c r="E32" s="34"/>
      <c r="F32" s="34"/>
      <c r="G32" s="34"/>
      <c r="H32" s="34"/>
      <c r="I32" s="34"/>
      <c r="J32" s="34"/>
      <c r="K32" s="34"/>
      <c r="L32" s="34"/>
      <c r="M32" s="34"/>
      <c r="N32" s="34"/>
      <c r="O32" s="34"/>
      <c r="P32" s="34"/>
      <c r="Q32" s="34"/>
      <c r="R32" s="34"/>
      <c r="S32" s="34"/>
      <c r="T32" s="34"/>
      <c r="U32" s="34"/>
      <c r="V32" s="34"/>
      <c r="W32" s="27"/>
      <c r="X32" s="27"/>
      <c r="Y32" s="27"/>
      <c r="Z32" s="27"/>
      <c r="AA32" s="27"/>
      <c r="AB32" s="27"/>
      <c r="AC32" s="27"/>
      <c r="AH32" s="158"/>
      <c r="AK32" s="167">
        <f>AK31*4000</f>
        <v>760000</v>
      </c>
    </row>
    <row r="33" spans="1:57" ht="15" thickBot="1" x14ac:dyDescent="0.4">
      <c r="A33" s="26"/>
      <c r="B33" s="26"/>
      <c r="C33" s="27"/>
      <c r="D33" s="27"/>
      <c r="E33" s="27"/>
      <c r="F33" s="27"/>
      <c r="G33" s="27"/>
      <c r="H33" s="27"/>
      <c r="I33" s="27"/>
      <c r="J33" s="27"/>
      <c r="K33" s="27"/>
      <c r="L33" s="27"/>
      <c r="M33" s="27"/>
      <c r="N33" s="27"/>
      <c r="O33" s="27"/>
      <c r="P33" s="27"/>
      <c r="Q33" s="27"/>
      <c r="R33" s="27"/>
      <c r="S33" s="27"/>
      <c r="T33" s="27"/>
      <c r="U33" s="27"/>
      <c r="V33" s="27"/>
      <c r="W33" s="39"/>
      <c r="X33" s="39"/>
      <c r="Y33" s="39"/>
      <c r="Z33" s="39"/>
      <c r="AA33" s="39"/>
      <c r="AB33" s="39"/>
      <c r="AC33" s="39"/>
    </row>
    <row r="34" spans="1:57" ht="15" thickBot="1" x14ac:dyDescent="0.4">
      <c r="A34" s="26"/>
      <c r="B34" s="85" t="s">
        <v>135</v>
      </c>
      <c r="C34" s="86" t="s">
        <v>136</v>
      </c>
      <c r="D34" s="83"/>
      <c r="E34" s="83"/>
      <c r="F34" s="83"/>
      <c r="G34" s="83"/>
      <c r="H34" s="83"/>
      <c r="I34" s="83"/>
      <c r="J34" s="83"/>
      <c r="K34" s="83"/>
      <c r="L34" s="79" t="s">
        <v>0</v>
      </c>
      <c r="M34" s="81"/>
      <c r="N34" s="82" t="s">
        <v>116</v>
      </c>
      <c r="O34" s="83"/>
      <c r="P34" s="88" t="s">
        <v>89</v>
      </c>
      <c r="Q34" s="89" t="s">
        <v>91</v>
      </c>
      <c r="R34" s="89" t="s">
        <v>92</v>
      </c>
      <c r="S34" s="89" t="s">
        <v>102</v>
      </c>
      <c r="T34" s="89" t="s">
        <v>103</v>
      </c>
      <c r="U34" s="90" t="s">
        <v>90</v>
      </c>
      <c r="V34" s="79" t="s">
        <v>0</v>
      </c>
      <c r="W34" s="80"/>
      <c r="X34" s="93" t="s">
        <v>137</v>
      </c>
      <c r="Y34" s="140" t="s">
        <v>163</v>
      </c>
      <c r="Z34" s="144" t="s">
        <v>164</v>
      </c>
      <c r="AA34" s="39"/>
      <c r="AB34" s="39"/>
      <c r="AC34" s="39"/>
      <c r="AE34" s="96"/>
      <c r="AF34" s="97"/>
      <c r="AG34" s="241" t="s">
        <v>175</v>
      </c>
      <c r="AH34" s="241"/>
      <c r="AI34" s="241"/>
      <c r="AJ34" s="241"/>
      <c r="AK34" s="241"/>
      <c r="AL34" s="241"/>
      <c r="AM34" s="241"/>
      <c r="AN34" s="241"/>
      <c r="AO34" s="241"/>
      <c r="AP34" s="241"/>
      <c r="AQ34" s="98"/>
    </row>
    <row r="35" spans="1:57" ht="15" thickBot="1" x14ac:dyDescent="0.4">
      <c r="A35" s="26"/>
      <c r="B35" s="153"/>
      <c r="C35" s="82" t="s">
        <v>107</v>
      </c>
      <c r="D35" s="83"/>
      <c r="E35" s="83"/>
      <c r="F35" s="83"/>
      <c r="G35" s="83"/>
      <c r="H35" s="83"/>
      <c r="I35" s="83"/>
      <c r="J35" s="83"/>
      <c r="K35" s="83"/>
      <c r="L35" s="82"/>
      <c r="M35" s="84">
        <v>0</v>
      </c>
      <c r="N35" s="82"/>
      <c r="O35" s="84">
        <v>0</v>
      </c>
      <c r="P35" s="88">
        <v>0</v>
      </c>
      <c r="Q35" s="89">
        <v>0</v>
      </c>
      <c r="R35" s="89">
        <v>0</v>
      </c>
      <c r="S35" s="89">
        <v>0</v>
      </c>
      <c r="T35" s="89">
        <v>0</v>
      </c>
      <c r="U35" s="90">
        <v>0</v>
      </c>
      <c r="V35" s="82"/>
      <c r="W35" s="83">
        <f>SUM(P35:U35)</f>
        <v>0</v>
      </c>
      <c r="X35" s="91" t="b">
        <f>M35=W35</f>
        <v>1</v>
      </c>
      <c r="Y35" s="141"/>
      <c r="Z35" s="39"/>
      <c r="AA35" s="39"/>
      <c r="AB35" s="39"/>
      <c r="AC35" s="39"/>
      <c r="AE35" s="99" t="s">
        <v>151</v>
      </c>
      <c r="AF35" s="100"/>
      <c r="AG35" s="101" t="s">
        <v>116</v>
      </c>
      <c r="AH35" s="101" t="s">
        <v>152</v>
      </c>
      <c r="AI35" s="101" t="s">
        <v>89</v>
      </c>
      <c r="AJ35" s="101" t="s">
        <v>91</v>
      </c>
      <c r="AK35" s="101" t="s">
        <v>92</v>
      </c>
      <c r="AL35" s="101" t="s">
        <v>102</v>
      </c>
      <c r="AM35" s="101" t="s">
        <v>158</v>
      </c>
      <c r="AN35" s="101" t="s">
        <v>90</v>
      </c>
      <c r="AO35" s="101" t="s">
        <v>153</v>
      </c>
      <c r="AP35" s="101" t="s">
        <v>154</v>
      </c>
      <c r="AQ35" s="102" t="s">
        <v>155</v>
      </c>
      <c r="AS35" s="101" t="s">
        <v>89</v>
      </c>
      <c r="AT35" s="101" t="s">
        <v>91</v>
      </c>
      <c r="AU35" s="101" t="s">
        <v>92</v>
      </c>
      <c r="AV35" s="101" t="s">
        <v>102</v>
      </c>
      <c r="AW35" s="101" t="s">
        <v>158</v>
      </c>
      <c r="AX35" s="101" t="s">
        <v>90</v>
      </c>
      <c r="AZ35" s="101" t="s">
        <v>89</v>
      </c>
      <c r="BA35" s="101" t="s">
        <v>91</v>
      </c>
      <c r="BB35" s="101" t="s">
        <v>92</v>
      </c>
      <c r="BC35" s="101" t="s">
        <v>102</v>
      </c>
      <c r="BD35" s="101" t="s">
        <v>158</v>
      </c>
      <c r="BE35" s="101" t="s">
        <v>90</v>
      </c>
    </row>
    <row r="36" spans="1:57" ht="15" thickBot="1" x14ac:dyDescent="0.4">
      <c r="A36" s="26"/>
      <c r="B36" s="154"/>
      <c r="C36" s="82" t="s">
        <v>108</v>
      </c>
      <c r="D36" s="83"/>
      <c r="E36" s="83"/>
      <c r="F36" s="83"/>
      <c r="G36" s="83"/>
      <c r="H36" s="83"/>
      <c r="I36" s="83"/>
      <c r="J36" s="83"/>
      <c r="K36" s="83"/>
      <c r="L36" s="82"/>
      <c r="M36" s="84">
        <f>W36</f>
        <v>29</v>
      </c>
      <c r="N36" s="82"/>
      <c r="O36" s="169">
        <f>AG37</f>
        <v>15</v>
      </c>
      <c r="P36" s="88">
        <v>4</v>
      </c>
      <c r="Q36" s="89">
        <v>4</v>
      </c>
      <c r="R36" s="89">
        <v>14</v>
      </c>
      <c r="S36" s="89">
        <v>7</v>
      </c>
      <c r="T36" s="89">
        <v>0</v>
      </c>
      <c r="U36" s="90">
        <v>0</v>
      </c>
      <c r="V36" s="82"/>
      <c r="W36" s="83">
        <f t="shared" ref="W36:W41" si="4">SUM(P36:U36)</f>
        <v>29</v>
      </c>
      <c r="X36" s="91" t="b">
        <f>M36=W36</f>
        <v>1</v>
      </c>
      <c r="Y36" s="141"/>
      <c r="Z36" s="39"/>
      <c r="AA36" s="39"/>
      <c r="AB36" s="39"/>
      <c r="AC36" s="39"/>
      <c r="AE36" s="103" t="s">
        <v>156</v>
      </c>
      <c r="AF36" s="104"/>
      <c r="AG36" s="105">
        <v>0</v>
      </c>
      <c r="AH36" s="106"/>
      <c r="AI36" s="106">
        <v>0</v>
      </c>
      <c r="AJ36" s="119">
        <v>0</v>
      </c>
      <c r="AK36" s="119">
        <v>0</v>
      </c>
      <c r="AL36" s="119">
        <v>0</v>
      </c>
      <c r="AM36" s="119">
        <v>0</v>
      </c>
      <c r="AN36" s="119">
        <v>0</v>
      </c>
      <c r="AO36" s="107">
        <v>0</v>
      </c>
      <c r="AP36" s="107">
        <v>0</v>
      </c>
      <c r="AQ36" s="108"/>
      <c r="AS36" s="57"/>
      <c r="AT36" s="57"/>
      <c r="AU36" s="57"/>
      <c r="AV36" s="57"/>
      <c r="AW36" s="57"/>
      <c r="AX36" s="57"/>
      <c r="AZ36" s="57"/>
      <c r="BA36" s="57"/>
      <c r="BB36" s="57"/>
      <c r="BC36" s="57"/>
      <c r="BD36" s="57"/>
      <c r="BE36" s="57"/>
    </row>
    <row r="37" spans="1:57" ht="15" thickBot="1" x14ac:dyDescent="0.4">
      <c r="A37" s="26"/>
      <c r="B37" s="41"/>
      <c r="C37" s="82" t="s">
        <v>123</v>
      </c>
      <c r="D37" s="83"/>
      <c r="E37" s="83"/>
      <c r="F37" s="83"/>
      <c r="G37" s="83"/>
      <c r="H37" s="83"/>
      <c r="I37" s="83"/>
      <c r="J37" s="83"/>
      <c r="K37" s="83"/>
      <c r="L37" s="82"/>
      <c r="M37" s="84">
        <f t="shared" ref="M37:M41" si="5">W37</f>
        <v>45</v>
      </c>
      <c r="N37" s="82"/>
      <c r="O37" s="169">
        <f t="shared" ref="O37:O41" si="6">AG38</f>
        <v>33</v>
      </c>
      <c r="P37" s="88">
        <v>6</v>
      </c>
      <c r="Q37" s="88">
        <v>6</v>
      </c>
      <c r="R37" s="89">
        <v>11</v>
      </c>
      <c r="S37" s="89">
        <v>22</v>
      </c>
      <c r="T37" s="89">
        <v>0</v>
      </c>
      <c r="U37" s="90">
        <v>0</v>
      </c>
      <c r="V37" s="82"/>
      <c r="W37" s="83">
        <f t="shared" si="4"/>
        <v>45</v>
      </c>
      <c r="X37" s="91" t="b">
        <f t="shared" ref="X37:X42" si="7">M37=W37</f>
        <v>1</v>
      </c>
      <c r="Y37" s="141"/>
      <c r="Z37" s="39"/>
      <c r="AA37" s="39"/>
      <c r="AB37" s="39"/>
      <c r="AC37" s="39"/>
      <c r="AE37" s="109" t="s">
        <v>108</v>
      </c>
      <c r="AF37" s="110"/>
      <c r="AG37" s="111">
        <f>SUM(Detail!K20:L20)</f>
        <v>15</v>
      </c>
      <c r="AH37" s="107"/>
      <c r="AI37" s="107">
        <v>0.25</v>
      </c>
      <c r="AJ37" s="120">
        <v>0.25</v>
      </c>
      <c r="AK37" s="120">
        <v>1</v>
      </c>
      <c r="AL37" s="120">
        <v>0.5</v>
      </c>
      <c r="AM37" s="120">
        <v>0</v>
      </c>
      <c r="AN37" s="119">
        <v>0</v>
      </c>
      <c r="AO37" s="107">
        <f t="shared" ref="AO37:AO42" si="8">SUM(AI37:AN37)</f>
        <v>2</v>
      </c>
      <c r="AP37" s="107">
        <f>ROUND(AO37*AG37,2)</f>
        <v>30</v>
      </c>
      <c r="AQ37" s="112"/>
      <c r="AS37" s="122">
        <f t="shared" ref="AS37:AX42" si="9">ROUND(AI37*$AG37,2)</f>
        <v>3.75</v>
      </c>
      <c r="AT37" s="122">
        <f t="shared" si="9"/>
        <v>3.75</v>
      </c>
      <c r="AU37" s="122">
        <f t="shared" si="9"/>
        <v>15</v>
      </c>
      <c r="AV37" s="122">
        <f t="shared" si="9"/>
        <v>7.5</v>
      </c>
      <c r="AW37" s="122">
        <f t="shared" si="9"/>
        <v>0</v>
      </c>
      <c r="AX37" s="122">
        <f t="shared" si="9"/>
        <v>0</v>
      </c>
      <c r="AZ37" s="122">
        <f>ROUND(AS37,0)</f>
        <v>4</v>
      </c>
      <c r="BA37" s="122">
        <f t="shared" ref="BA37:BE42" si="10">ROUND(AT37,0)</f>
        <v>4</v>
      </c>
      <c r="BB37" s="122">
        <f t="shared" si="10"/>
        <v>15</v>
      </c>
      <c r="BC37" s="122">
        <f t="shared" si="10"/>
        <v>8</v>
      </c>
      <c r="BD37" s="122">
        <f t="shared" si="10"/>
        <v>0</v>
      </c>
      <c r="BE37" s="122">
        <f t="shared" si="10"/>
        <v>0</v>
      </c>
    </row>
    <row r="38" spans="1:57" ht="15" thickBot="1" x14ac:dyDescent="0.4">
      <c r="A38" s="26"/>
      <c r="B38" s="42"/>
      <c r="C38" s="82" t="s">
        <v>133</v>
      </c>
      <c r="D38" s="83"/>
      <c r="E38" s="83"/>
      <c r="F38" s="83"/>
      <c r="G38" s="83"/>
      <c r="H38" s="83"/>
      <c r="I38" s="83"/>
      <c r="J38" s="83"/>
      <c r="K38" s="83"/>
      <c r="L38" s="82"/>
      <c r="M38" s="84">
        <f t="shared" si="5"/>
        <v>52</v>
      </c>
      <c r="N38" s="82"/>
      <c r="O38" s="169">
        <f t="shared" si="6"/>
        <v>12</v>
      </c>
      <c r="P38" s="88">
        <v>4</v>
      </c>
      <c r="Q38" s="88">
        <v>4</v>
      </c>
      <c r="R38" s="89">
        <v>12</v>
      </c>
      <c r="S38" s="89">
        <v>16</v>
      </c>
      <c r="T38" s="89">
        <v>0</v>
      </c>
      <c r="U38" s="90">
        <v>16</v>
      </c>
      <c r="V38" s="82"/>
      <c r="W38" s="83">
        <f t="shared" si="4"/>
        <v>52</v>
      </c>
      <c r="X38" s="91" t="b">
        <f t="shared" si="7"/>
        <v>1</v>
      </c>
      <c r="Y38" s="141"/>
      <c r="Z38" s="39"/>
      <c r="AA38" s="39"/>
      <c r="AB38" s="39"/>
      <c r="AC38" s="39"/>
      <c r="AE38" s="109" t="s">
        <v>123</v>
      </c>
      <c r="AF38" s="110"/>
      <c r="AG38" s="111">
        <f>SUM(Detail!M20:P20)</f>
        <v>33</v>
      </c>
      <c r="AH38" s="107"/>
      <c r="AI38" s="107">
        <v>0.25</v>
      </c>
      <c r="AJ38" s="120">
        <v>0.25</v>
      </c>
      <c r="AK38" s="120">
        <v>0.5</v>
      </c>
      <c r="AL38" s="120">
        <v>1</v>
      </c>
      <c r="AM38" s="120">
        <v>0</v>
      </c>
      <c r="AN38" s="119">
        <v>0</v>
      </c>
      <c r="AO38" s="107">
        <f t="shared" si="8"/>
        <v>2</v>
      </c>
      <c r="AP38" s="107">
        <f>ROUND(AO38*AG38,2)</f>
        <v>66</v>
      </c>
      <c r="AQ38" s="112"/>
      <c r="AS38" s="122">
        <f t="shared" si="9"/>
        <v>8.25</v>
      </c>
      <c r="AT38" s="122">
        <f t="shared" si="9"/>
        <v>8.25</v>
      </c>
      <c r="AU38" s="122">
        <f t="shared" si="9"/>
        <v>16.5</v>
      </c>
      <c r="AV38" s="122">
        <f t="shared" si="9"/>
        <v>33</v>
      </c>
      <c r="AW38" s="122">
        <f t="shared" si="9"/>
        <v>0</v>
      </c>
      <c r="AX38" s="122">
        <f t="shared" si="9"/>
        <v>0</v>
      </c>
      <c r="AZ38" s="122">
        <f t="shared" ref="AZ38:AZ42" si="11">ROUND(AS38,0)</f>
        <v>8</v>
      </c>
      <c r="BA38" s="122">
        <f t="shared" si="10"/>
        <v>8</v>
      </c>
      <c r="BB38" s="122">
        <f t="shared" si="10"/>
        <v>17</v>
      </c>
      <c r="BC38" s="122">
        <f t="shared" si="10"/>
        <v>33</v>
      </c>
      <c r="BD38" s="122">
        <f t="shared" si="10"/>
        <v>0</v>
      </c>
      <c r="BE38" s="122">
        <f t="shared" si="10"/>
        <v>0</v>
      </c>
    </row>
    <row r="39" spans="1:57" ht="15" thickBot="1" x14ac:dyDescent="0.4">
      <c r="A39" s="26"/>
      <c r="B39" s="43"/>
      <c r="C39" s="82" t="s">
        <v>134</v>
      </c>
      <c r="D39" s="83"/>
      <c r="E39" s="83"/>
      <c r="F39" s="83"/>
      <c r="G39" s="83"/>
      <c r="H39" s="83"/>
      <c r="I39" s="83"/>
      <c r="J39" s="83"/>
      <c r="K39" s="83"/>
      <c r="L39" s="82"/>
      <c r="M39" s="84">
        <f t="shared" si="5"/>
        <v>40</v>
      </c>
      <c r="N39" s="82"/>
      <c r="O39" s="169">
        <f t="shared" si="6"/>
        <v>18</v>
      </c>
      <c r="P39" s="88">
        <v>5</v>
      </c>
      <c r="Q39" s="88">
        <v>5</v>
      </c>
      <c r="R39" s="89">
        <v>20</v>
      </c>
      <c r="S39" s="89">
        <v>10</v>
      </c>
      <c r="T39" s="89">
        <v>0</v>
      </c>
      <c r="U39" s="90">
        <v>0</v>
      </c>
      <c r="V39" s="82"/>
      <c r="W39" s="83">
        <f t="shared" si="4"/>
        <v>40</v>
      </c>
      <c r="X39" s="91" t="b">
        <f t="shared" si="7"/>
        <v>1</v>
      </c>
      <c r="Y39" s="141">
        <f>(ROUND(0.5*O39,0)*3)</f>
        <v>27</v>
      </c>
      <c r="Z39" s="39"/>
      <c r="AA39" s="39"/>
      <c r="AB39" s="39"/>
      <c r="AC39" s="39"/>
      <c r="AE39" s="113" t="s">
        <v>93</v>
      </c>
      <c r="AF39" s="114"/>
      <c r="AG39" s="111">
        <f>Detail!Q20</f>
        <v>12</v>
      </c>
      <c r="AH39" s="107"/>
      <c r="AI39" s="107">
        <v>0.25</v>
      </c>
      <c r="AJ39" s="120">
        <v>0.25</v>
      </c>
      <c r="AK39" s="120">
        <v>0.75</v>
      </c>
      <c r="AL39" s="120">
        <v>1</v>
      </c>
      <c r="AM39" s="120">
        <v>0</v>
      </c>
      <c r="AN39" s="119">
        <v>1</v>
      </c>
      <c r="AO39" s="107">
        <f t="shared" si="8"/>
        <v>3.25</v>
      </c>
      <c r="AP39" s="107">
        <f>ROUND(AO39*AG39,2)</f>
        <v>39</v>
      </c>
      <c r="AQ39" s="112"/>
      <c r="AS39" s="122">
        <f t="shared" si="9"/>
        <v>3</v>
      </c>
      <c r="AT39" s="122">
        <f t="shared" si="9"/>
        <v>3</v>
      </c>
      <c r="AU39" s="122">
        <f t="shared" si="9"/>
        <v>9</v>
      </c>
      <c r="AV39" s="122">
        <f t="shared" si="9"/>
        <v>12</v>
      </c>
      <c r="AW39" s="122">
        <f t="shared" si="9"/>
        <v>0</v>
      </c>
      <c r="AX39" s="122">
        <f t="shared" si="9"/>
        <v>12</v>
      </c>
      <c r="AZ39" s="122">
        <f t="shared" si="11"/>
        <v>3</v>
      </c>
      <c r="BA39" s="122">
        <f t="shared" si="10"/>
        <v>3</v>
      </c>
      <c r="BB39" s="122">
        <f t="shared" si="10"/>
        <v>9</v>
      </c>
      <c r="BC39" s="122">
        <f t="shared" si="10"/>
        <v>12</v>
      </c>
      <c r="BD39" s="122">
        <f t="shared" si="10"/>
        <v>0</v>
      </c>
      <c r="BE39" s="122">
        <f t="shared" si="10"/>
        <v>12</v>
      </c>
    </row>
    <row r="40" spans="1:57" ht="15" thickBot="1" x14ac:dyDescent="0.4">
      <c r="A40" s="26"/>
      <c r="B40" s="152"/>
      <c r="C40" s="82" t="s">
        <v>168</v>
      </c>
      <c r="D40" s="83"/>
      <c r="E40" s="83"/>
      <c r="F40" s="83"/>
      <c r="G40" s="83"/>
      <c r="H40" s="83"/>
      <c r="I40" s="83"/>
      <c r="J40" s="83"/>
      <c r="K40" s="83"/>
      <c r="L40" s="82"/>
      <c r="M40" s="84">
        <f t="shared" si="5"/>
        <v>13</v>
      </c>
      <c r="N40" s="82"/>
      <c r="O40" s="169">
        <f t="shared" si="6"/>
        <v>7</v>
      </c>
      <c r="P40" s="88">
        <v>0</v>
      </c>
      <c r="Q40" s="89">
        <v>2</v>
      </c>
      <c r="R40" s="89">
        <v>2</v>
      </c>
      <c r="S40" s="89">
        <v>9</v>
      </c>
      <c r="T40" s="89">
        <v>0</v>
      </c>
      <c r="U40" s="90">
        <v>0</v>
      </c>
      <c r="V40" s="82"/>
      <c r="W40" s="83">
        <f t="shared" si="4"/>
        <v>13</v>
      </c>
      <c r="X40" s="91" t="b">
        <f t="shared" si="7"/>
        <v>1</v>
      </c>
      <c r="Y40" s="142">
        <f>(ROUND(0.7 *O40,0)*3)</f>
        <v>15</v>
      </c>
      <c r="Z40" s="27"/>
      <c r="AA40" s="27"/>
      <c r="AB40" s="27"/>
      <c r="AC40" s="27"/>
      <c r="AE40" s="113" t="s">
        <v>88</v>
      </c>
      <c r="AF40" s="114"/>
      <c r="AG40" s="111">
        <f>Detail!R20</f>
        <v>18</v>
      </c>
      <c r="AH40" s="107"/>
      <c r="AI40" s="107">
        <v>0.25</v>
      </c>
      <c r="AJ40" s="121">
        <v>0.25</v>
      </c>
      <c r="AK40" s="120">
        <v>1</v>
      </c>
      <c r="AL40" s="120">
        <v>0.5</v>
      </c>
      <c r="AM40" s="120">
        <v>0</v>
      </c>
      <c r="AN40" s="119">
        <v>0</v>
      </c>
      <c r="AO40" s="107">
        <f t="shared" si="8"/>
        <v>2</v>
      </c>
      <c r="AP40" s="107">
        <f>ROUND(AO40*AG40,2)</f>
        <v>36</v>
      </c>
      <c r="AQ40" s="112"/>
      <c r="AS40" s="122">
        <f t="shared" si="9"/>
        <v>4.5</v>
      </c>
      <c r="AT40" s="122">
        <f t="shared" si="9"/>
        <v>4.5</v>
      </c>
      <c r="AU40" s="122">
        <f t="shared" si="9"/>
        <v>18</v>
      </c>
      <c r="AV40" s="122">
        <f t="shared" si="9"/>
        <v>9</v>
      </c>
      <c r="AW40" s="122">
        <f t="shared" si="9"/>
        <v>0</v>
      </c>
      <c r="AX40" s="122">
        <f t="shared" si="9"/>
        <v>0</v>
      </c>
      <c r="AZ40" s="122">
        <f t="shared" si="11"/>
        <v>5</v>
      </c>
      <c r="BA40" s="122">
        <f t="shared" si="10"/>
        <v>5</v>
      </c>
      <c r="BB40" s="122">
        <f t="shared" si="10"/>
        <v>18</v>
      </c>
      <c r="BC40" s="122">
        <f t="shared" si="10"/>
        <v>9</v>
      </c>
      <c r="BD40" s="122">
        <f t="shared" si="10"/>
        <v>0</v>
      </c>
      <c r="BE40" s="122">
        <f t="shared" si="10"/>
        <v>0</v>
      </c>
    </row>
    <row r="41" spans="1:57" ht="15" thickBot="1" x14ac:dyDescent="0.4">
      <c r="A41" s="26"/>
      <c r="B41" s="44"/>
      <c r="C41" s="82" t="s">
        <v>169</v>
      </c>
      <c r="D41" s="83"/>
      <c r="E41" s="83"/>
      <c r="F41" s="83"/>
      <c r="G41" s="83"/>
      <c r="H41" s="83"/>
      <c r="I41" s="83"/>
      <c r="J41" s="83"/>
      <c r="K41" s="83"/>
      <c r="L41" s="82"/>
      <c r="M41" s="84">
        <f t="shared" si="5"/>
        <v>22</v>
      </c>
      <c r="N41" s="82"/>
      <c r="O41" s="169">
        <f t="shared" si="6"/>
        <v>10</v>
      </c>
      <c r="P41" s="88">
        <v>2</v>
      </c>
      <c r="Q41" s="89">
        <v>2</v>
      </c>
      <c r="R41" s="89">
        <v>9</v>
      </c>
      <c r="S41" s="89">
        <v>9</v>
      </c>
      <c r="T41" s="89">
        <v>0</v>
      </c>
      <c r="U41" s="90">
        <v>0</v>
      </c>
      <c r="V41" s="82"/>
      <c r="W41" s="83">
        <f t="shared" si="4"/>
        <v>22</v>
      </c>
      <c r="X41" s="91" t="b">
        <f t="shared" si="7"/>
        <v>1</v>
      </c>
      <c r="Y41" s="142"/>
      <c r="Z41" s="27"/>
      <c r="AA41" s="27"/>
      <c r="AB41" s="27"/>
      <c r="AC41" s="27"/>
      <c r="AE41" s="109" t="s">
        <v>165</v>
      </c>
      <c r="AF41" s="110"/>
      <c r="AG41" s="111">
        <f>Detail!S20</f>
        <v>7</v>
      </c>
      <c r="AH41" s="107"/>
      <c r="AI41" s="106">
        <v>0</v>
      </c>
      <c r="AJ41" s="121">
        <v>0.25</v>
      </c>
      <c r="AK41" s="120">
        <v>0.25</v>
      </c>
      <c r="AL41" s="120">
        <v>1</v>
      </c>
      <c r="AM41" s="120">
        <v>0</v>
      </c>
      <c r="AN41" s="119">
        <v>0</v>
      </c>
      <c r="AO41" s="107">
        <f t="shared" si="8"/>
        <v>1.5</v>
      </c>
      <c r="AP41" s="107">
        <f>ROUND(AO41*AG41,0)</f>
        <v>11</v>
      </c>
      <c r="AQ41" s="112"/>
      <c r="AS41" s="122">
        <f t="shared" si="9"/>
        <v>0</v>
      </c>
      <c r="AT41" s="122">
        <f t="shared" si="9"/>
        <v>1.75</v>
      </c>
      <c r="AU41" s="122">
        <f t="shared" si="9"/>
        <v>1.75</v>
      </c>
      <c r="AV41" s="122">
        <f t="shared" si="9"/>
        <v>7</v>
      </c>
      <c r="AW41" s="122">
        <f t="shared" si="9"/>
        <v>0</v>
      </c>
      <c r="AX41" s="122">
        <f t="shared" si="9"/>
        <v>0</v>
      </c>
      <c r="AZ41" s="122">
        <f t="shared" si="11"/>
        <v>0</v>
      </c>
      <c r="BA41" s="122">
        <f t="shared" si="10"/>
        <v>2</v>
      </c>
      <c r="BB41" s="122">
        <f t="shared" si="10"/>
        <v>2</v>
      </c>
      <c r="BC41" s="122">
        <f t="shared" si="10"/>
        <v>7</v>
      </c>
      <c r="BD41" s="122">
        <f t="shared" si="10"/>
        <v>0</v>
      </c>
      <c r="BE41" s="122">
        <f t="shared" si="10"/>
        <v>0</v>
      </c>
    </row>
    <row r="42" spans="1:57" ht="15" thickBot="1" x14ac:dyDescent="0.4">
      <c r="A42" s="26"/>
      <c r="B42" s="26"/>
      <c r="C42" s="87" t="s">
        <v>105</v>
      </c>
      <c r="D42" s="83"/>
      <c r="E42" s="83"/>
      <c r="F42" s="83"/>
      <c r="G42" s="83"/>
      <c r="H42" s="83"/>
      <c r="I42" s="83"/>
      <c r="J42" s="83"/>
      <c r="K42" s="84"/>
      <c r="L42" s="82"/>
      <c r="M42" s="84">
        <f>SUM(M35:M41)</f>
        <v>201</v>
      </c>
      <c r="N42" s="82"/>
      <c r="O42" s="84">
        <f>SUM(O35:O41)</f>
        <v>95</v>
      </c>
      <c r="P42" s="88">
        <f>SUM(P35:P41)</f>
        <v>21</v>
      </c>
      <c r="Q42" s="89">
        <f t="shared" ref="Q42:U42" si="12">SUM(Q35:Q41)</f>
        <v>23</v>
      </c>
      <c r="R42" s="89">
        <f t="shared" si="12"/>
        <v>68</v>
      </c>
      <c r="S42" s="89">
        <f t="shared" si="12"/>
        <v>73</v>
      </c>
      <c r="T42" s="89">
        <f t="shared" si="12"/>
        <v>0</v>
      </c>
      <c r="U42" s="90">
        <f t="shared" si="12"/>
        <v>16</v>
      </c>
      <c r="V42" s="82"/>
      <c r="W42" s="83">
        <f>SUM(W35:W41)</f>
        <v>201</v>
      </c>
      <c r="X42" s="92" t="b">
        <f t="shared" si="7"/>
        <v>1</v>
      </c>
      <c r="Y42" s="142">
        <f>SUM(Y35:Y41)</f>
        <v>42</v>
      </c>
      <c r="Z42" s="143">
        <f>Y42*(300000+100000+200000)</f>
        <v>25200000</v>
      </c>
      <c r="AA42" s="27"/>
      <c r="AB42" s="27"/>
      <c r="AC42" s="27"/>
      <c r="AE42" s="109" t="s">
        <v>157</v>
      </c>
      <c r="AF42" s="110"/>
      <c r="AG42" s="111">
        <f>Detail!T20</f>
        <v>10</v>
      </c>
      <c r="AH42" s="107"/>
      <c r="AI42" s="107">
        <v>0.25</v>
      </c>
      <c r="AJ42" s="121">
        <v>0.25</v>
      </c>
      <c r="AK42" s="120">
        <v>1</v>
      </c>
      <c r="AL42" s="120">
        <v>1</v>
      </c>
      <c r="AM42" s="120">
        <v>0</v>
      </c>
      <c r="AN42" s="119">
        <v>0</v>
      </c>
      <c r="AO42" s="107">
        <f t="shared" si="8"/>
        <v>2.5</v>
      </c>
      <c r="AP42" s="107">
        <f>ROUND(AO42*AG42,0)</f>
        <v>25</v>
      </c>
      <c r="AQ42" s="112"/>
      <c r="AS42" s="122">
        <f t="shared" si="9"/>
        <v>2.5</v>
      </c>
      <c r="AT42" s="122">
        <f t="shared" si="9"/>
        <v>2.5</v>
      </c>
      <c r="AU42" s="122">
        <f t="shared" si="9"/>
        <v>10</v>
      </c>
      <c r="AV42" s="122">
        <f t="shared" si="9"/>
        <v>10</v>
      </c>
      <c r="AW42" s="122">
        <f t="shared" si="9"/>
        <v>0</v>
      </c>
      <c r="AX42" s="122">
        <f t="shared" si="9"/>
        <v>0</v>
      </c>
      <c r="AZ42" s="122">
        <f t="shared" si="11"/>
        <v>3</v>
      </c>
      <c r="BA42" s="122">
        <f t="shared" si="10"/>
        <v>3</v>
      </c>
      <c r="BB42" s="122">
        <f t="shared" si="10"/>
        <v>10</v>
      </c>
      <c r="BC42" s="122">
        <f t="shared" si="10"/>
        <v>10</v>
      </c>
      <c r="BD42" s="122">
        <f t="shared" si="10"/>
        <v>0</v>
      </c>
      <c r="BE42" s="122">
        <f t="shared" si="10"/>
        <v>0</v>
      </c>
    </row>
    <row r="43" spans="1:57" x14ac:dyDescent="0.35">
      <c r="A43" s="26"/>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E43" s="109"/>
      <c r="AF43" s="110"/>
      <c r="AG43" s="111"/>
      <c r="AH43" s="107"/>
      <c r="AI43" s="107"/>
      <c r="AJ43" s="107"/>
      <c r="AK43" s="107"/>
      <c r="AL43" s="107"/>
      <c r="AM43" s="107"/>
      <c r="AN43" s="107"/>
      <c r="AO43" s="107"/>
      <c r="AP43" s="107"/>
      <c r="AQ43" s="112"/>
    </row>
    <row r="44" spans="1:57" ht="15" thickBot="1" x14ac:dyDescent="0.4">
      <c r="A44" s="26"/>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E44" s="115"/>
      <c r="AF44" s="116"/>
      <c r="AG44" s="117">
        <f>SUM(AG36:AG43)</f>
        <v>95</v>
      </c>
      <c r="AH44" s="117"/>
      <c r="AI44" s="117"/>
      <c r="AJ44" s="117"/>
      <c r="AK44" s="117"/>
      <c r="AL44" s="117"/>
      <c r="AM44" s="117"/>
      <c r="AN44" s="117"/>
      <c r="AO44" s="117">
        <f>SUM(AO36:AO43)</f>
        <v>13.25</v>
      </c>
      <c r="AP44" s="117">
        <f>SUM(AP36:AP43)</f>
        <v>207</v>
      </c>
      <c r="AQ44" s="118"/>
    </row>
    <row r="45" spans="1:57" x14ac:dyDescent="0.35">
      <c r="A45" s="26"/>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row>
    <row r="46" spans="1:57" x14ac:dyDescent="0.35">
      <c r="A46" s="26"/>
      <c r="B46" s="40" t="s">
        <v>106</v>
      </c>
      <c r="C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row>
    <row r="47" spans="1:57" ht="14.5" customHeight="1" x14ac:dyDescent="0.35">
      <c r="A47" s="26"/>
      <c r="B47" s="242" t="s">
        <v>174</v>
      </c>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c r="AA47" s="242"/>
      <c r="AB47" s="242"/>
      <c r="AC47" s="242"/>
      <c r="AD47" s="127"/>
      <c r="AZ47" s="167">
        <f>SUM(AZ37:BE42)</f>
        <v>210</v>
      </c>
      <c r="BA47" s="56">
        <f>110%*AZ47</f>
        <v>231.00000000000003</v>
      </c>
    </row>
    <row r="48" spans="1:57" x14ac:dyDescent="0.35">
      <c r="A48" s="26"/>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127"/>
      <c r="AZ48" s="180">
        <f>AZ47*4000</f>
        <v>840000</v>
      </c>
      <c r="BA48" s="180">
        <f>BA47*4000</f>
        <v>924000.00000000012</v>
      </c>
      <c r="BC48" s="167">
        <v>998800.00000000012</v>
      </c>
    </row>
    <row r="49" spans="1:53" x14ac:dyDescent="0.35">
      <c r="A49" s="26"/>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c r="AA49" s="242"/>
      <c r="AB49" s="242"/>
      <c r="AC49" s="242"/>
      <c r="AD49" s="126"/>
      <c r="AZ49" s="167">
        <v>153</v>
      </c>
      <c r="BA49" s="56">
        <v>168.3</v>
      </c>
    </row>
    <row r="50" spans="1:53" x14ac:dyDescent="0.35">
      <c r="A50" s="26"/>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c r="AA50" s="242"/>
      <c r="AB50" s="242"/>
      <c r="AC50" s="242"/>
      <c r="AD50" s="126"/>
      <c r="AZ50" s="167">
        <v>612000</v>
      </c>
      <c r="BA50" s="167">
        <v>673200</v>
      </c>
    </row>
    <row r="51" spans="1:53" x14ac:dyDescent="0.35">
      <c r="A51" s="26"/>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row>
    <row r="52" spans="1:53" x14ac:dyDescent="0.35">
      <c r="A52" s="26"/>
      <c r="B52" s="40" t="s">
        <v>132</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row>
    <row r="53" spans="1:53" ht="40" customHeight="1" x14ac:dyDescent="0.35">
      <c r="A53" s="26"/>
      <c r="B53" s="242" t="s">
        <v>159</v>
      </c>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c r="AA53" s="242"/>
      <c r="AB53" s="242"/>
      <c r="AC53" s="242"/>
      <c r="AD53" s="242"/>
    </row>
    <row r="54" spans="1:53" x14ac:dyDescent="0.35">
      <c r="A54" s="26"/>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row>
    <row r="55" spans="1:53" x14ac:dyDescent="0.35">
      <c r="A55" s="26"/>
      <c r="B55" s="40" t="s">
        <v>138</v>
      </c>
      <c r="C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row>
    <row r="56" spans="1:53" x14ac:dyDescent="0.35">
      <c r="A56" s="26"/>
      <c r="B56" s="27" t="s">
        <v>139</v>
      </c>
      <c r="C56" s="26"/>
      <c r="D56" s="26"/>
      <c r="E56" s="26"/>
      <c r="F56" s="26"/>
      <c r="G56" s="26"/>
      <c r="H56" s="26"/>
      <c r="I56" s="26"/>
      <c r="J56" s="26"/>
      <c r="K56" s="26"/>
      <c r="L56" s="26"/>
      <c r="M56" s="26"/>
      <c r="N56" s="26"/>
      <c r="O56" s="26"/>
      <c r="P56" s="26"/>
      <c r="Q56" s="26"/>
      <c r="R56" s="26"/>
      <c r="S56" s="26"/>
      <c r="T56" s="26"/>
      <c r="U56" s="26"/>
      <c r="V56" s="26"/>
      <c r="W56" s="26"/>
      <c r="X56" s="26"/>
      <c r="Y56" s="27"/>
      <c r="Z56" s="27"/>
      <c r="AA56" s="27"/>
      <c r="AB56" s="27"/>
      <c r="AC56" s="27"/>
    </row>
    <row r="57" spans="1:53" x14ac:dyDescent="0.35">
      <c r="A57" s="26"/>
      <c r="B57" s="27" t="s">
        <v>149</v>
      </c>
      <c r="C57" s="26"/>
      <c r="D57" s="26"/>
      <c r="E57" s="26"/>
      <c r="F57" s="26"/>
      <c r="G57" s="26"/>
      <c r="H57" s="26"/>
      <c r="I57" s="26"/>
      <c r="J57" s="26"/>
      <c r="K57" s="26"/>
      <c r="L57" s="26"/>
      <c r="M57" s="26"/>
      <c r="N57" s="26"/>
      <c r="O57" s="26"/>
      <c r="P57" s="26"/>
      <c r="Q57" s="26"/>
      <c r="R57" s="26"/>
      <c r="S57" s="26"/>
      <c r="T57" s="26"/>
      <c r="U57" s="26"/>
      <c r="V57" s="26"/>
      <c r="W57" s="26"/>
      <c r="X57" s="26"/>
      <c r="Y57" s="27"/>
      <c r="Z57" s="27"/>
      <c r="AA57" s="27"/>
      <c r="AB57" s="27"/>
      <c r="AC57" s="27"/>
    </row>
    <row r="58" spans="1:53" x14ac:dyDescent="0.35">
      <c r="A58" s="26"/>
      <c r="B58" s="27" t="s">
        <v>140</v>
      </c>
      <c r="C58" s="26"/>
      <c r="D58" s="26"/>
      <c r="E58" s="26"/>
      <c r="F58" s="26"/>
      <c r="G58" s="26"/>
      <c r="H58" s="26"/>
      <c r="I58" s="26"/>
      <c r="J58" s="26"/>
      <c r="K58" s="26"/>
      <c r="L58" s="26"/>
      <c r="M58" s="26"/>
      <c r="N58" s="26"/>
      <c r="O58" s="26"/>
      <c r="P58" s="26"/>
      <c r="Q58" s="26"/>
      <c r="R58" s="26"/>
      <c r="S58" s="26"/>
      <c r="T58" s="26"/>
      <c r="U58" s="26"/>
      <c r="V58" s="26"/>
      <c r="W58" s="26"/>
      <c r="X58" s="26"/>
      <c r="Y58" s="27"/>
      <c r="Z58" s="27"/>
      <c r="AA58" s="27"/>
      <c r="AB58" s="27"/>
      <c r="AC58" s="27"/>
    </row>
    <row r="59" spans="1:53" x14ac:dyDescent="0.35">
      <c r="A59" s="26"/>
      <c r="B59" s="27" t="s">
        <v>141</v>
      </c>
      <c r="C59" s="26"/>
      <c r="D59" s="26"/>
      <c r="E59" s="26"/>
      <c r="F59" s="26"/>
      <c r="G59" s="26"/>
      <c r="H59" s="26"/>
      <c r="I59" s="26"/>
      <c r="J59" s="26"/>
      <c r="K59" s="26"/>
      <c r="L59" s="26"/>
      <c r="M59" s="26"/>
      <c r="N59" s="26"/>
      <c r="O59" s="26"/>
      <c r="P59" s="26"/>
      <c r="Q59" s="26"/>
      <c r="R59" s="26"/>
      <c r="S59" s="26"/>
      <c r="T59" s="26"/>
      <c r="U59" s="26"/>
      <c r="V59" s="26"/>
      <c r="W59" s="26"/>
      <c r="X59" s="26"/>
      <c r="Y59" s="27"/>
      <c r="Z59" s="27"/>
      <c r="AA59" s="27"/>
      <c r="AB59" s="27"/>
      <c r="AC59" s="27"/>
    </row>
    <row r="60" spans="1:53" x14ac:dyDescent="0.35">
      <c r="A60" s="26"/>
      <c r="B60" s="27" t="s">
        <v>160</v>
      </c>
      <c r="C60" s="26"/>
      <c r="D60" s="26"/>
      <c r="E60" s="26"/>
      <c r="F60" s="26"/>
      <c r="G60" s="26"/>
      <c r="H60" s="26"/>
      <c r="I60" s="26"/>
      <c r="J60" s="26"/>
      <c r="K60" s="26"/>
      <c r="L60" s="26"/>
      <c r="M60" s="26"/>
      <c r="N60" s="26"/>
      <c r="O60" s="26"/>
      <c r="P60" s="26"/>
      <c r="Q60" s="26"/>
      <c r="R60" s="26"/>
      <c r="S60" s="26"/>
      <c r="T60" s="26"/>
      <c r="U60" s="26"/>
      <c r="V60" s="26"/>
      <c r="W60" s="26"/>
      <c r="X60" s="26"/>
      <c r="Y60" s="27"/>
      <c r="Z60" s="27"/>
      <c r="AA60" s="27"/>
      <c r="AB60" s="27"/>
      <c r="AC60" s="27"/>
    </row>
    <row r="61" spans="1:53" x14ac:dyDescent="0.35">
      <c r="A61" s="26"/>
      <c r="B61" s="27" t="s">
        <v>143</v>
      </c>
      <c r="C61" s="26"/>
      <c r="D61" s="26"/>
      <c r="E61" s="26"/>
      <c r="F61" s="26"/>
      <c r="G61" s="26"/>
      <c r="H61" s="26"/>
      <c r="I61" s="26"/>
      <c r="J61" s="26"/>
      <c r="K61" s="26"/>
      <c r="L61" s="26"/>
      <c r="M61" s="26"/>
      <c r="N61" s="26"/>
      <c r="O61" s="26"/>
      <c r="P61" s="26"/>
      <c r="Q61" s="26"/>
      <c r="R61" s="26"/>
      <c r="S61" s="26"/>
      <c r="T61" s="26"/>
      <c r="U61" s="26"/>
      <c r="V61" s="26"/>
      <c r="W61" s="26"/>
      <c r="X61" s="26"/>
      <c r="Y61" s="27"/>
      <c r="Z61" s="27"/>
      <c r="AA61" s="27"/>
      <c r="AB61" s="27"/>
      <c r="AC61" s="27"/>
    </row>
    <row r="62" spans="1:53" x14ac:dyDescent="0.35">
      <c r="A62" s="26"/>
      <c r="B62" s="26" t="s">
        <v>142</v>
      </c>
      <c r="C62" s="26"/>
      <c r="D62" s="26"/>
      <c r="E62" s="26"/>
      <c r="F62" s="26"/>
      <c r="G62" s="26"/>
      <c r="H62" s="26"/>
      <c r="I62" s="26"/>
      <c r="J62" s="26"/>
      <c r="K62" s="26"/>
      <c r="L62" s="26"/>
      <c r="M62" s="26"/>
      <c r="N62" s="26"/>
      <c r="O62" s="26"/>
      <c r="P62" s="26"/>
      <c r="Q62" s="26"/>
      <c r="R62" s="26"/>
      <c r="S62" s="26"/>
      <c r="T62" s="26"/>
      <c r="U62" s="26"/>
      <c r="V62" s="26"/>
      <c r="W62" s="26"/>
      <c r="X62" s="26"/>
      <c r="Y62" s="27"/>
      <c r="Z62" s="27"/>
      <c r="AA62" s="27"/>
      <c r="AB62" s="27"/>
      <c r="AC62" s="27"/>
    </row>
    <row r="63" spans="1:53"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7"/>
      <c r="Z63" s="27"/>
      <c r="AA63" s="27"/>
      <c r="AB63" s="27"/>
      <c r="AC63" s="27"/>
    </row>
    <row r="64" spans="1:53" x14ac:dyDescent="0.35">
      <c r="A64" s="26"/>
      <c r="B64" s="40" t="s">
        <v>148</v>
      </c>
      <c r="C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row>
    <row r="65" spans="1:29" x14ac:dyDescent="0.35">
      <c r="A65" s="26"/>
      <c r="B65" s="27" t="s">
        <v>144</v>
      </c>
      <c r="C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row>
    <row r="66" spans="1:29" x14ac:dyDescent="0.35">
      <c r="A66" s="26"/>
      <c r="B66" s="27" t="s">
        <v>145</v>
      </c>
      <c r="C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row>
    <row r="67" spans="1:29" x14ac:dyDescent="0.35">
      <c r="A67" s="26"/>
      <c r="B67" s="27" t="s">
        <v>146</v>
      </c>
      <c r="C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row>
    <row r="68" spans="1:29" x14ac:dyDescent="0.35">
      <c r="A68" s="26"/>
      <c r="B68" s="27" t="s">
        <v>147</v>
      </c>
      <c r="C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row>
    <row r="69" spans="1:29" x14ac:dyDescent="0.35">
      <c r="A69" s="26"/>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row>
  </sheetData>
  <mergeCells count="10">
    <mergeCell ref="AG34:AP34"/>
    <mergeCell ref="B53:AD53"/>
    <mergeCell ref="C11:V11"/>
    <mergeCell ref="C12:V12"/>
    <mergeCell ref="C13:F13"/>
    <mergeCell ref="G13:J13"/>
    <mergeCell ref="K13:N13"/>
    <mergeCell ref="O13:R13"/>
    <mergeCell ref="S13:V13"/>
    <mergeCell ref="B47:AC5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C3DDE-5690-4B7B-9B06-317431501AB8}">
  <dimension ref="A1:Y18"/>
  <sheetViews>
    <sheetView zoomScale="75" zoomScaleNormal="75" workbookViewId="0">
      <selection activeCell="Z5" sqref="Z5"/>
    </sheetView>
  </sheetViews>
  <sheetFormatPr defaultRowHeight="14.5" x14ac:dyDescent="0.35"/>
  <sheetData>
    <row r="1" spans="1:25" ht="15" thickBot="1" x14ac:dyDescent="0.4">
      <c r="A1" s="26"/>
      <c r="B1" s="26"/>
      <c r="C1" s="26"/>
      <c r="D1" s="26"/>
      <c r="E1" s="26"/>
      <c r="F1" s="26"/>
      <c r="G1" s="26"/>
      <c r="H1" s="26"/>
      <c r="I1" s="26"/>
      <c r="J1" s="26"/>
      <c r="K1" s="26"/>
      <c r="L1" s="26"/>
      <c r="M1" s="26"/>
      <c r="N1" s="26"/>
      <c r="O1" s="26"/>
      <c r="P1" s="26"/>
      <c r="Q1" s="26"/>
      <c r="R1" s="26"/>
      <c r="S1" s="26"/>
      <c r="T1" s="26"/>
      <c r="U1" s="26"/>
      <c r="V1" s="178"/>
      <c r="W1" s="178"/>
    </row>
    <row r="2" spans="1:25" ht="15" thickBot="1" x14ac:dyDescent="0.4">
      <c r="A2" s="26"/>
      <c r="B2" s="153"/>
      <c r="C2" s="27" t="s">
        <v>107</v>
      </c>
      <c r="D2" s="27"/>
      <c r="E2" s="27"/>
      <c r="F2" s="27"/>
      <c r="G2" s="27"/>
      <c r="H2" s="27"/>
      <c r="I2" s="27"/>
      <c r="J2" s="27"/>
      <c r="L2" s="27"/>
      <c r="M2" s="27"/>
      <c r="N2" s="27"/>
      <c r="O2" s="27"/>
      <c r="P2" s="27"/>
      <c r="Q2" s="27"/>
      <c r="R2" s="27"/>
      <c r="S2" s="27"/>
      <c r="T2" s="27"/>
      <c r="U2" s="27"/>
      <c r="V2" s="57"/>
      <c r="W2" s="57"/>
    </row>
    <row r="3" spans="1:25" ht="15" thickBot="1" x14ac:dyDescent="0.4">
      <c r="A3" s="26"/>
      <c r="B3" s="154"/>
      <c r="C3" s="27" t="s">
        <v>108</v>
      </c>
      <c r="D3" s="27"/>
      <c r="E3" s="27"/>
      <c r="F3" s="27"/>
      <c r="G3" s="27"/>
      <c r="H3" s="27"/>
      <c r="I3" s="27"/>
      <c r="J3" s="27"/>
      <c r="L3" s="27"/>
      <c r="M3" s="27"/>
      <c r="N3" s="27"/>
      <c r="O3" s="27"/>
      <c r="P3" s="27"/>
      <c r="Q3" s="27"/>
      <c r="R3" s="27"/>
      <c r="S3" s="27"/>
      <c r="T3" s="27"/>
      <c r="U3" s="27"/>
      <c r="V3" s="57"/>
      <c r="W3" s="57"/>
    </row>
    <row r="4" spans="1:25" ht="15" thickBot="1" x14ac:dyDescent="0.4">
      <c r="A4" s="26"/>
      <c r="B4" s="41"/>
      <c r="C4" s="27" t="s">
        <v>109</v>
      </c>
      <c r="D4" s="27"/>
      <c r="E4" s="27"/>
      <c r="F4" s="27"/>
      <c r="G4" s="27"/>
      <c r="H4" s="27"/>
      <c r="I4" s="27"/>
      <c r="J4" s="27"/>
      <c r="K4" s="27"/>
      <c r="L4" s="27"/>
      <c r="M4" s="27"/>
      <c r="N4" s="27"/>
      <c r="O4" s="27"/>
      <c r="P4" s="27"/>
      <c r="Q4" s="27"/>
      <c r="R4" s="27"/>
      <c r="S4" s="27"/>
      <c r="T4" s="27"/>
      <c r="U4" s="27"/>
      <c r="V4" s="57"/>
      <c r="W4" s="57"/>
    </row>
    <row r="5" spans="1:25" ht="15" thickBot="1" x14ac:dyDescent="0.4">
      <c r="A5" s="26"/>
      <c r="B5" s="42"/>
      <c r="C5" s="27" t="s">
        <v>93</v>
      </c>
      <c r="D5" s="27"/>
      <c r="E5" s="27"/>
      <c r="F5" s="27"/>
      <c r="G5" s="27"/>
      <c r="H5" s="27"/>
      <c r="I5" s="27"/>
      <c r="J5" s="27"/>
      <c r="K5" s="27"/>
      <c r="L5" s="27"/>
      <c r="M5" s="27"/>
      <c r="N5" s="27"/>
      <c r="O5" s="27"/>
      <c r="P5" s="27"/>
      <c r="Q5" s="27"/>
      <c r="R5" s="27"/>
      <c r="S5" s="27"/>
      <c r="T5" s="27"/>
      <c r="U5" s="27"/>
      <c r="V5" s="57"/>
      <c r="W5" s="57"/>
    </row>
    <row r="6" spans="1:25" ht="15" thickBot="1" x14ac:dyDescent="0.4">
      <c r="A6" s="26"/>
      <c r="B6" s="43"/>
      <c r="C6" s="27" t="s">
        <v>88</v>
      </c>
      <c r="D6" s="27"/>
      <c r="E6" s="27"/>
      <c r="F6" s="27"/>
      <c r="G6" s="27"/>
      <c r="H6" s="27"/>
      <c r="I6" s="27"/>
      <c r="J6" s="27"/>
      <c r="K6" s="27"/>
      <c r="L6" s="27"/>
      <c r="M6" s="27"/>
      <c r="N6" s="27"/>
      <c r="O6" s="27"/>
      <c r="P6" s="27"/>
      <c r="Q6" s="27"/>
      <c r="R6" s="27"/>
      <c r="S6" s="27"/>
      <c r="T6" s="27"/>
      <c r="U6" s="27"/>
      <c r="V6" s="57"/>
      <c r="W6" s="57"/>
    </row>
    <row r="7" spans="1:25" ht="15" thickBot="1" x14ac:dyDescent="0.4">
      <c r="A7" s="26"/>
      <c r="B7" s="44"/>
      <c r="C7" s="27" t="s">
        <v>171</v>
      </c>
      <c r="D7" s="27"/>
      <c r="E7" s="27"/>
      <c r="F7" s="27"/>
      <c r="G7" s="27"/>
      <c r="H7" s="27"/>
      <c r="I7" s="27"/>
      <c r="J7" s="27"/>
      <c r="K7" s="27"/>
      <c r="L7" s="27"/>
      <c r="M7" s="27"/>
      <c r="N7" s="27"/>
      <c r="O7" s="27"/>
      <c r="P7" s="27"/>
      <c r="Q7" s="27"/>
      <c r="R7" s="27"/>
      <c r="S7" s="27"/>
      <c r="T7" s="27"/>
      <c r="U7" s="27"/>
      <c r="V7" s="57"/>
      <c r="W7" s="57"/>
    </row>
    <row r="8" spans="1:25" ht="15" thickBot="1" x14ac:dyDescent="0.4">
      <c r="A8" s="26"/>
      <c r="B8" s="27"/>
      <c r="C8" s="27"/>
      <c r="D8" s="27"/>
      <c r="E8" s="27"/>
      <c r="F8" s="27"/>
      <c r="G8" s="27"/>
      <c r="H8" s="27"/>
      <c r="I8" s="27"/>
      <c r="J8" s="27"/>
      <c r="K8" s="27"/>
      <c r="L8" s="27"/>
      <c r="M8" s="27"/>
      <c r="N8" s="27"/>
      <c r="O8" s="27"/>
      <c r="P8" s="27"/>
      <c r="Q8" s="27"/>
      <c r="R8" s="27"/>
      <c r="S8" s="27"/>
      <c r="T8" s="27"/>
      <c r="U8" s="27"/>
      <c r="V8" s="57"/>
      <c r="W8" s="57"/>
    </row>
    <row r="9" spans="1:25" ht="15" thickBot="1" x14ac:dyDescent="0.4">
      <c r="A9" s="26"/>
      <c r="B9" s="243" t="s">
        <v>175</v>
      </c>
      <c r="C9" s="244"/>
      <c r="D9" s="244"/>
      <c r="E9" s="244"/>
      <c r="F9" s="244"/>
      <c r="G9" s="244"/>
      <c r="H9" s="244"/>
      <c r="I9" s="244"/>
      <c r="J9" s="244"/>
      <c r="K9" s="244"/>
      <c r="L9" s="244"/>
      <c r="M9" s="244"/>
      <c r="N9" s="244"/>
      <c r="O9" s="244"/>
      <c r="P9" s="244"/>
      <c r="Q9" s="244"/>
      <c r="R9" s="244"/>
      <c r="S9" s="244"/>
      <c r="T9" s="244"/>
      <c r="U9" s="245"/>
      <c r="V9" s="57"/>
      <c r="W9" s="57"/>
    </row>
    <row r="10" spans="1:25" ht="15" thickBot="1" x14ac:dyDescent="0.4">
      <c r="A10" s="26"/>
      <c r="B10" s="243" t="s">
        <v>95</v>
      </c>
      <c r="C10" s="244"/>
      <c r="D10" s="244"/>
      <c r="E10" s="244"/>
      <c r="F10" s="244"/>
      <c r="G10" s="244"/>
      <c r="H10" s="244"/>
      <c r="I10" s="244"/>
      <c r="J10" s="244"/>
      <c r="K10" s="244"/>
      <c r="L10" s="244"/>
      <c r="M10" s="244"/>
      <c r="N10" s="246"/>
      <c r="O10" s="246"/>
      <c r="P10" s="246"/>
      <c r="Q10" s="246"/>
      <c r="R10" s="244"/>
      <c r="S10" s="244"/>
      <c r="T10" s="244"/>
      <c r="U10" s="245"/>
      <c r="V10" s="57"/>
      <c r="W10" s="57"/>
    </row>
    <row r="11" spans="1:25" ht="15" thickBot="1" x14ac:dyDescent="0.4">
      <c r="A11" s="26"/>
      <c r="B11" s="247" t="s">
        <v>96</v>
      </c>
      <c r="C11" s="248"/>
      <c r="D11" s="248"/>
      <c r="E11" s="249"/>
      <c r="F11" s="247" t="s">
        <v>97</v>
      </c>
      <c r="G11" s="248"/>
      <c r="H11" s="248"/>
      <c r="I11" s="249"/>
      <c r="J11" s="247" t="s">
        <v>98</v>
      </c>
      <c r="K11" s="248"/>
      <c r="L11" s="248"/>
      <c r="M11" s="250"/>
      <c r="N11" s="251" t="s">
        <v>99</v>
      </c>
      <c r="O11" s="252"/>
      <c r="P11" s="252"/>
      <c r="Q11" s="253"/>
      <c r="R11" s="254" t="s">
        <v>100</v>
      </c>
      <c r="S11" s="252"/>
      <c r="T11" s="252"/>
      <c r="U11" s="253"/>
      <c r="V11" s="255"/>
      <c r="W11" s="255"/>
      <c r="X11" s="255"/>
      <c r="Y11" s="255"/>
    </row>
    <row r="12" spans="1:25" x14ac:dyDescent="0.35">
      <c r="A12" s="26"/>
      <c r="B12" s="129">
        <v>1</v>
      </c>
      <c r="C12" s="28">
        <v>2</v>
      </c>
      <c r="D12" s="28">
        <v>3</v>
      </c>
      <c r="E12" s="130">
        <v>4</v>
      </c>
      <c r="F12" s="129">
        <v>5</v>
      </c>
      <c r="G12" s="28">
        <v>6</v>
      </c>
      <c r="H12" s="28">
        <v>7</v>
      </c>
      <c r="I12" s="130">
        <v>8</v>
      </c>
      <c r="J12" s="129">
        <v>9</v>
      </c>
      <c r="K12" s="28">
        <v>10</v>
      </c>
      <c r="L12" s="28">
        <v>11</v>
      </c>
      <c r="M12" s="163">
        <v>12</v>
      </c>
      <c r="N12" s="129">
        <v>13</v>
      </c>
      <c r="O12" s="28">
        <v>14</v>
      </c>
      <c r="P12" s="28">
        <v>15</v>
      </c>
      <c r="Q12" s="130">
        <v>16</v>
      </c>
      <c r="R12" s="172">
        <v>17</v>
      </c>
      <c r="S12" s="28">
        <v>18</v>
      </c>
      <c r="T12" s="28">
        <v>19</v>
      </c>
      <c r="U12" s="130">
        <v>20</v>
      </c>
      <c r="V12" s="57"/>
      <c r="W12" s="57"/>
      <c r="X12" s="57"/>
      <c r="Y12" s="57"/>
    </row>
    <row r="13" spans="1:25" x14ac:dyDescent="0.35">
      <c r="A13" s="26"/>
      <c r="B13" s="155"/>
      <c r="C13" s="28"/>
      <c r="D13" s="28"/>
      <c r="E13" s="130"/>
      <c r="F13" s="129"/>
      <c r="G13" s="28"/>
      <c r="H13" s="28"/>
      <c r="I13" s="130"/>
      <c r="J13" s="129"/>
      <c r="K13" s="28"/>
      <c r="L13" s="28"/>
      <c r="M13" s="163"/>
      <c r="N13" s="175"/>
      <c r="O13" s="29"/>
      <c r="P13" s="29"/>
      <c r="Q13" s="132"/>
      <c r="R13" s="172"/>
      <c r="S13" s="28"/>
      <c r="T13" s="28"/>
      <c r="U13" s="130"/>
      <c r="V13" s="57"/>
      <c r="W13" s="57"/>
      <c r="X13" s="179"/>
      <c r="Y13" s="57"/>
    </row>
    <row r="14" spans="1:25" x14ac:dyDescent="0.35">
      <c r="A14" s="26"/>
      <c r="B14" s="155"/>
      <c r="C14" s="155"/>
      <c r="D14" s="28"/>
      <c r="E14" s="147"/>
      <c r="F14" s="148"/>
      <c r="G14" s="145"/>
      <c r="H14" s="145"/>
      <c r="I14" s="149"/>
      <c r="J14" s="148"/>
      <c r="K14" s="145"/>
      <c r="L14" s="29"/>
      <c r="M14" s="171"/>
      <c r="N14" s="135"/>
      <c r="O14" s="30"/>
      <c r="P14" s="30"/>
      <c r="Q14" s="131"/>
      <c r="R14" s="173"/>
      <c r="S14" s="30"/>
      <c r="T14" s="30"/>
      <c r="U14" s="131"/>
      <c r="V14" s="57"/>
      <c r="W14" s="57"/>
      <c r="X14" s="57"/>
      <c r="Y14" s="57"/>
    </row>
    <row r="15" spans="1:25" x14ac:dyDescent="0.35">
      <c r="A15" s="26"/>
      <c r="B15" s="148"/>
      <c r="C15" s="150"/>
      <c r="D15" s="150"/>
      <c r="E15" s="150"/>
      <c r="F15" s="150"/>
      <c r="G15" s="145"/>
      <c r="H15" s="145"/>
      <c r="I15" s="149"/>
      <c r="J15" s="146"/>
      <c r="K15" s="146"/>
      <c r="L15" s="30"/>
      <c r="M15" s="164"/>
      <c r="N15" s="135"/>
      <c r="O15" s="30"/>
      <c r="P15" s="30"/>
      <c r="Q15" s="131"/>
      <c r="R15" s="173"/>
      <c r="S15" s="30"/>
      <c r="T15" s="30"/>
      <c r="U15" s="131"/>
      <c r="V15" s="57"/>
      <c r="W15" s="57"/>
      <c r="X15" s="57"/>
      <c r="Y15" s="57"/>
    </row>
    <row r="16" spans="1:25" x14ac:dyDescent="0.35">
      <c r="A16" s="26"/>
      <c r="B16" s="148"/>
      <c r="C16" s="145"/>
      <c r="D16" s="145"/>
      <c r="E16" s="151"/>
      <c r="F16" s="151"/>
      <c r="G16" s="151"/>
      <c r="H16" s="145"/>
      <c r="I16" s="149"/>
      <c r="J16" s="146"/>
      <c r="K16" s="146"/>
      <c r="L16" s="30"/>
      <c r="M16" s="164"/>
      <c r="N16" s="135"/>
      <c r="O16" s="30"/>
      <c r="P16" s="30"/>
      <c r="Q16" s="131"/>
      <c r="R16" s="173"/>
      <c r="S16" s="30"/>
      <c r="T16" s="30"/>
      <c r="U16" s="131"/>
      <c r="V16" s="57"/>
      <c r="W16" s="57"/>
      <c r="X16" s="57"/>
      <c r="Y16" s="57"/>
    </row>
    <row r="17" spans="1:25" x14ac:dyDescent="0.35">
      <c r="A17" s="26"/>
      <c r="B17" s="148"/>
      <c r="C17" s="145"/>
      <c r="D17" s="145"/>
      <c r="E17" s="147"/>
      <c r="F17" s="148"/>
      <c r="G17" s="145"/>
      <c r="H17" s="156"/>
      <c r="I17" s="156"/>
      <c r="J17" s="156"/>
      <c r="K17" s="156"/>
      <c r="L17" s="30"/>
      <c r="M17" s="164"/>
      <c r="N17" s="135"/>
      <c r="O17" s="30"/>
      <c r="P17" s="30"/>
      <c r="Q17" s="131"/>
      <c r="R17" s="173"/>
      <c r="S17" s="30"/>
      <c r="T17" s="30"/>
      <c r="U17" s="131"/>
      <c r="V17" s="57"/>
      <c r="W17" s="57"/>
      <c r="X17" s="57"/>
      <c r="Y17" s="57"/>
    </row>
    <row r="18" spans="1:25" ht="15" thickBot="1" x14ac:dyDescent="0.4">
      <c r="B18" s="133"/>
      <c r="C18" s="138"/>
      <c r="D18" s="138"/>
      <c r="E18" s="160"/>
      <c r="F18" s="133"/>
      <c r="G18" s="138"/>
      <c r="H18" s="138"/>
      <c r="I18" s="160"/>
      <c r="J18" s="133"/>
      <c r="K18" s="31"/>
      <c r="L18" s="165"/>
      <c r="M18" s="165"/>
      <c r="N18" s="176"/>
      <c r="O18" s="177"/>
      <c r="P18" s="31"/>
      <c r="Q18" s="134"/>
      <c r="R18" s="174"/>
      <c r="S18" s="31"/>
      <c r="T18" s="31"/>
      <c r="U18" s="134"/>
    </row>
  </sheetData>
  <mergeCells count="8">
    <mergeCell ref="V11:Y11"/>
    <mergeCell ref="B9:U9"/>
    <mergeCell ref="B10:U10"/>
    <mergeCell ref="B11:E11"/>
    <mergeCell ref="F11:I11"/>
    <mergeCell ref="J11:M11"/>
    <mergeCell ref="N11:Q11"/>
    <mergeCell ref="R11:U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793B8-62FA-4B29-AFBE-99C0AE6C3633}">
  <dimension ref="A1:AH35"/>
  <sheetViews>
    <sheetView tabSelected="1" zoomScale="71" zoomScaleNormal="100" workbookViewId="0">
      <pane ySplit="2" topLeftCell="A5" activePane="bottomLeft" state="frozen"/>
      <selection activeCell="C1" sqref="C1"/>
      <selection pane="bottomLeft" activeCell="F6" sqref="F6"/>
    </sheetView>
  </sheetViews>
  <sheetFormatPr defaultRowHeight="14.5" x14ac:dyDescent="0.35"/>
  <cols>
    <col min="1" max="1" width="3.453125" bestFit="1" customWidth="1"/>
    <col min="2" max="2" width="43.6328125" style="210" bestFit="1" customWidth="1"/>
    <col min="3" max="3" width="8.6328125" bestFit="1" customWidth="1"/>
    <col min="4" max="4" width="11.453125" bestFit="1" customWidth="1"/>
    <col min="5" max="5" width="24.26953125" style="4" bestFit="1" customWidth="1"/>
    <col min="6" max="6" width="73.36328125" style="4" bestFit="1" customWidth="1"/>
    <col min="7" max="7" width="47.1796875" style="4" bestFit="1" customWidth="1"/>
    <col min="8" max="8" width="8.81640625" hidden="1" customWidth="1"/>
    <col min="9" max="9" width="6.08984375" hidden="1" customWidth="1"/>
    <col min="10" max="10" width="12.26953125" hidden="1" customWidth="1"/>
    <col min="11" max="11" width="5.08984375" bestFit="1" customWidth="1"/>
    <col min="12" max="12" width="4.1796875" bestFit="1" customWidth="1"/>
    <col min="13" max="13" width="5" bestFit="1" customWidth="1"/>
    <col min="14" max="14" width="4.26953125" bestFit="1" customWidth="1"/>
    <col min="15" max="15" width="12" bestFit="1" customWidth="1"/>
    <col min="16" max="16" width="3.1796875" bestFit="1" customWidth="1"/>
    <col min="17" max="17" width="3.453125" bestFit="1" customWidth="1"/>
    <col min="18" max="18" width="4.453125" bestFit="1" customWidth="1"/>
    <col min="19" max="19" width="7" bestFit="1" customWidth="1"/>
    <col min="20" max="20" width="8.453125" bestFit="1" customWidth="1"/>
    <col min="21" max="21" width="1.6328125" bestFit="1" customWidth="1"/>
  </cols>
  <sheetData>
    <row r="1" spans="1:34" x14ac:dyDescent="0.35">
      <c r="A1" s="223" t="s">
        <v>1</v>
      </c>
      <c r="B1" s="223" t="s">
        <v>3</v>
      </c>
      <c r="C1" s="225" t="s">
        <v>47</v>
      </c>
      <c r="D1" s="225" t="s">
        <v>48</v>
      </c>
      <c r="E1" s="227" t="s">
        <v>49</v>
      </c>
      <c r="F1" s="229" t="s">
        <v>110</v>
      </c>
      <c r="G1" s="230" t="s">
        <v>5</v>
      </c>
      <c r="H1" s="170" t="s">
        <v>0</v>
      </c>
      <c r="I1" s="170" t="s">
        <v>52</v>
      </c>
      <c r="J1" s="181" t="s">
        <v>53</v>
      </c>
      <c r="K1" s="219" t="s">
        <v>150</v>
      </c>
      <c r="L1" s="220"/>
      <c r="M1" s="221" t="s">
        <v>111</v>
      </c>
      <c r="N1" s="236" t="s">
        <v>102</v>
      </c>
      <c r="O1" s="237"/>
      <c r="P1" s="238"/>
      <c r="Q1" s="221" t="s">
        <v>93</v>
      </c>
      <c r="R1" s="221" t="s">
        <v>88</v>
      </c>
      <c r="S1" s="232" t="s">
        <v>167</v>
      </c>
      <c r="T1" s="234" t="s">
        <v>166</v>
      </c>
      <c r="Y1" s="219" t="s">
        <v>150</v>
      </c>
      <c r="Z1" s="220"/>
      <c r="AA1" s="221" t="s">
        <v>111</v>
      </c>
      <c r="AB1" s="236" t="s">
        <v>102</v>
      </c>
      <c r="AC1" s="237"/>
      <c r="AD1" s="238"/>
      <c r="AE1" s="221" t="s">
        <v>93</v>
      </c>
      <c r="AF1" s="221" t="s">
        <v>88</v>
      </c>
      <c r="AG1" s="232" t="s">
        <v>167</v>
      </c>
      <c r="AH1" s="234" t="s">
        <v>166</v>
      </c>
    </row>
    <row r="2" spans="1:34" ht="10.5" customHeight="1" x14ac:dyDescent="0.35">
      <c r="A2" s="224"/>
      <c r="B2" s="224"/>
      <c r="C2" s="226"/>
      <c r="D2" s="226"/>
      <c r="E2" s="228"/>
      <c r="F2" s="228"/>
      <c r="G2" s="231"/>
      <c r="K2" s="182" t="s">
        <v>150</v>
      </c>
      <c r="L2" s="183" t="s">
        <v>180</v>
      </c>
      <c r="M2" s="222"/>
      <c r="N2" s="184" t="s">
        <v>177</v>
      </c>
      <c r="O2" s="185" t="s">
        <v>178</v>
      </c>
      <c r="P2" s="181" t="s">
        <v>179</v>
      </c>
      <c r="Q2" s="222"/>
      <c r="R2" s="222"/>
      <c r="S2" s="233"/>
      <c r="T2" s="235"/>
      <c r="Y2" s="182" t="s">
        <v>150</v>
      </c>
      <c r="Z2" s="183" t="s">
        <v>180</v>
      </c>
      <c r="AA2" s="222"/>
      <c r="AB2" s="184" t="s">
        <v>177</v>
      </c>
      <c r="AC2" s="185" t="s">
        <v>178</v>
      </c>
      <c r="AD2" s="181" t="s">
        <v>179</v>
      </c>
      <c r="AE2" s="222"/>
      <c r="AF2" s="222"/>
      <c r="AG2" s="233"/>
      <c r="AH2" s="235"/>
    </row>
    <row r="3" spans="1:34" ht="178.5" customHeight="1" x14ac:dyDescent="0.35">
      <c r="A3" s="186">
        <v>1</v>
      </c>
      <c r="B3" s="186" t="s">
        <v>186</v>
      </c>
      <c r="C3" s="212" t="s">
        <v>176</v>
      </c>
      <c r="D3" s="212" t="s">
        <v>187</v>
      </c>
      <c r="E3" s="187" t="s">
        <v>188</v>
      </c>
      <c r="F3" s="187" t="s">
        <v>194</v>
      </c>
      <c r="G3" s="187" t="s">
        <v>195</v>
      </c>
      <c r="H3" s="186"/>
      <c r="I3" s="186"/>
      <c r="J3" s="186"/>
      <c r="K3" s="186">
        <v>1</v>
      </c>
      <c r="L3" s="211">
        <v>1</v>
      </c>
      <c r="M3" s="186">
        <v>1</v>
      </c>
      <c r="N3" s="186">
        <v>2</v>
      </c>
      <c r="O3" s="186">
        <v>1</v>
      </c>
      <c r="P3" s="186">
        <v>2</v>
      </c>
      <c r="Q3" s="186">
        <v>2</v>
      </c>
      <c r="R3" s="186">
        <v>2</v>
      </c>
      <c r="S3" s="260"/>
      <c r="T3" s="186">
        <v>2</v>
      </c>
      <c r="Y3" s="186">
        <v>1</v>
      </c>
      <c r="Z3" s="211">
        <v>1</v>
      </c>
      <c r="AA3" s="186">
        <v>1</v>
      </c>
      <c r="AB3" s="186">
        <v>2</v>
      </c>
      <c r="AC3" s="186">
        <v>1</v>
      </c>
      <c r="AD3" s="186">
        <v>2</v>
      </c>
      <c r="AE3" s="186">
        <v>2</v>
      </c>
      <c r="AF3" s="186">
        <v>2</v>
      </c>
      <c r="AG3" s="260">
        <v>1</v>
      </c>
      <c r="AH3" s="186">
        <v>2</v>
      </c>
    </row>
    <row r="4" spans="1:34" ht="217.5" x14ac:dyDescent="0.35">
      <c r="A4" s="186">
        <v>2</v>
      </c>
      <c r="B4" s="187" t="s">
        <v>181</v>
      </c>
      <c r="C4" s="212" t="s">
        <v>176</v>
      </c>
      <c r="D4" s="212" t="s">
        <v>185</v>
      </c>
      <c r="E4" s="187" t="s">
        <v>182</v>
      </c>
      <c r="F4" s="213" t="s">
        <v>192</v>
      </c>
      <c r="G4" s="187" t="s">
        <v>196</v>
      </c>
      <c r="H4" s="186"/>
      <c r="I4" s="186"/>
      <c r="J4" s="186"/>
      <c r="K4" s="186">
        <v>4</v>
      </c>
      <c r="L4" s="186">
        <v>2</v>
      </c>
      <c r="M4" s="186">
        <v>1</v>
      </c>
      <c r="N4" s="186">
        <v>5</v>
      </c>
      <c r="O4" s="186">
        <v>2</v>
      </c>
      <c r="P4" s="186">
        <v>3</v>
      </c>
      <c r="Q4" s="186">
        <v>4</v>
      </c>
      <c r="R4" s="186">
        <v>7</v>
      </c>
      <c r="S4" s="187">
        <v>4</v>
      </c>
      <c r="T4" s="187">
        <v>3</v>
      </c>
      <c r="Y4" s="186">
        <v>5</v>
      </c>
      <c r="Z4" s="186">
        <v>3</v>
      </c>
      <c r="AA4" s="186">
        <v>2</v>
      </c>
      <c r="AB4" s="186">
        <v>5</v>
      </c>
      <c r="AC4" s="186">
        <v>3</v>
      </c>
      <c r="AD4" s="186">
        <v>5</v>
      </c>
      <c r="AE4" s="186">
        <v>5</v>
      </c>
      <c r="AF4" s="186">
        <v>7</v>
      </c>
      <c r="AG4" s="187">
        <v>5</v>
      </c>
      <c r="AH4" s="187">
        <v>4</v>
      </c>
    </row>
    <row r="5" spans="1:34" ht="58" x14ac:dyDescent="0.35">
      <c r="A5" s="186">
        <v>3</v>
      </c>
      <c r="B5" s="186" t="s">
        <v>190</v>
      </c>
      <c r="C5" s="212" t="s">
        <v>176</v>
      </c>
      <c r="D5" s="212" t="s">
        <v>187</v>
      </c>
      <c r="E5" s="187" t="s">
        <v>189</v>
      </c>
      <c r="F5" s="187" t="s">
        <v>197</v>
      </c>
      <c r="G5" s="187" t="s">
        <v>198</v>
      </c>
      <c r="H5" s="186"/>
      <c r="I5" s="186"/>
      <c r="J5" s="186"/>
      <c r="K5" s="186">
        <v>1</v>
      </c>
      <c r="L5" s="211">
        <v>1</v>
      </c>
      <c r="M5" s="186">
        <v>1</v>
      </c>
      <c r="N5" s="186">
        <v>2</v>
      </c>
      <c r="O5" s="186">
        <v>1</v>
      </c>
      <c r="P5" s="186">
        <v>2</v>
      </c>
      <c r="Q5" s="186">
        <v>2</v>
      </c>
      <c r="R5" s="186">
        <v>2</v>
      </c>
      <c r="S5" s="260"/>
      <c r="T5" s="186">
        <v>2</v>
      </c>
      <c r="Y5" s="186">
        <v>1</v>
      </c>
      <c r="Z5" s="211">
        <v>1</v>
      </c>
      <c r="AA5" s="186">
        <v>1</v>
      </c>
      <c r="AB5" s="186">
        <v>2</v>
      </c>
      <c r="AC5" s="186">
        <v>1</v>
      </c>
      <c r="AD5" s="186">
        <v>2</v>
      </c>
      <c r="AE5" s="186">
        <v>2</v>
      </c>
      <c r="AF5" s="186">
        <v>2</v>
      </c>
      <c r="AG5" s="260">
        <v>1</v>
      </c>
      <c r="AH5" s="186">
        <v>2</v>
      </c>
    </row>
    <row r="6" spans="1:34" ht="116" x14ac:dyDescent="0.35">
      <c r="A6" s="186">
        <v>4</v>
      </c>
      <c r="B6" s="187" t="s">
        <v>183</v>
      </c>
      <c r="C6" s="212" t="s">
        <v>176</v>
      </c>
      <c r="D6" s="212" t="s">
        <v>185</v>
      </c>
      <c r="E6" s="213" t="s">
        <v>184</v>
      </c>
      <c r="F6" s="213" t="s">
        <v>193</v>
      </c>
      <c r="G6" s="187" t="s">
        <v>191</v>
      </c>
      <c r="H6" s="188"/>
      <c r="I6" s="188"/>
      <c r="J6" s="188"/>
      <c r="K6" s="188">
        <v>3</v>
      </c>
      <c r="L6" s="188">
        <v>2</v>
      </c>
      <c r="M6" s="186">
        <v>1</v>
      </c>
      <c r="N6" s="186">
        <v>5</v>
      </c>
      <c r="O6" s="186">
        <v>1</v>
      </c>
      <c r="P6" s="186">
        <v>3</v>
      </c>
      <c r="Q6" s="186">
        <v>4</v>
      </c>
      <c r="R6" s="186">
        <v>7</v>
      </c>
      <c r="S6" s="187">
        <v>3</v>
      </c>
      <c r="T6" s="187">
        <v>3</v>
      </c>
      <c r="Y6" s="188">
        <v>3</v>
      </c>
      <c r="Z6" s="188">
        <v>2</v>
      </c>
      <c r="AA6" s="186">
        <v>2</v>
      </c>
      <c r="AB6" s="186">
        <v>5</v>
      </c>
      <c r="AC6" s="186">
        <v>3</v>
      </c>
      <c r="AD6" s="186">
        <v>5</v>
      </c>
      <c r="AE6" s="186">
        <v>5</v>
      </c>
      <c r="AF6" s="186">
        <v>7</v>
      </c>
      <c r="AG6" s="187">
        <v>5</v>
      </c>
      <c r="AH6" s="187">
        <v>4</v>
      </c>
    </row>
    <row r="7" spans="1:34" x14ac:dyDescent="0.35">
      <c r="A7" s="214">
        <v>5</v>
      </c>
      <c r="B7" s="214"/>
      <c r="C7" s="215"/>
      <c r="D7" s="215"/>
      <c r="E7" s="216"/>
      <c r="F7" s="217"/>
      <c r="G7" s="218"/>
      <c r="H7" s="194"/>
      <c r="I7" s="194"/>
      <c r="J7" s="194"/>
      <c r="K7" s="194"/>
      <c r="L7" s="194"/>
      <c r="M7" s="194"/>
      <c r="N7" s="194"/>
      <c r="O7" s="194"/>
      <c r="P7" s="194"/>
      <c r="Q7" s="195"/>
      <c r="R7" s="195"/>
      <c r="S7" s="195"/>
      <c r="T7" s="195"/>
    </row>
    <row r="8" spans="1:34" x14ac:dyDescent="0.35">
      <c r="A8" s="189"/>
      <c r="B8" s="189"/>
      <c r="C8" s="190"/>
      <c r="D8" s="190"/>
      <c r="E8" s="191"/>
      <c r="F8" s="192"/>
      <c r="G8" s="197"/>
      <c r="H8" s="194"/>
      <c r="I8" s="194"/>
      <c r="J8" s="194"/>
      <c r="K8" s="194"/>
      <c r="L8" s="194"/>
      <c r="M8" s="194"/>
      <c r="N8" s="194"/>
      <c r="O8" s="194"/>
      <c r="P8" s="194"/>
      <c r="Q8" s="195"/>
      <c r="R8" s="195"/>
      <c r="S8" s="195"/>
      <c r="T8" s="195"/>
    </row>
    <row r="9" spans="1:34" x14ac:dyDescent="0.35">
      <c r="A9" s="193"/>
      <c r="B9" s="196"/>
      <c r="C9" s="193"/>
      <c r="D9" s="193"/>
      <c r="E9" s="197"/>
      <c r="F9" s="197"/>
      <c r="G9" s="197"/>
      <c r="H9" s="194"/>
      <c r="I9" s="194"/>
      <c r="J9" s="194"/>
      <c r="K9" s="198"/>
      <c r="L9" s="198"/>
      <c r="M9" s="198"/>
      <c r="N9" s="198"/>
      <c r="O9" s="198"/>
      <c r="P9" s="198"/>
      <c r="Q9" s="198"/>
      <c r="R9" s="198"/>
      <c r="S9" s="199"/>
      <c r="T9" s="199"/>
    </row>
    <row r="10" spans="1:34" x14ac:dyDescent="0.35">
      <c r="A10" s="193"/>
      <c r="B10" s="196"/>
      <c r="C10" s="193"/>
      <c r="D10" s="193"/>
      <c r="E10" s="197"/>
      <c r="F10" s="197"/>
      <c r="G10" s="191"/>
      <c r="H10" s="194"/>
      <c r="I10" s="194"/>
      <c r="J10" s="194"/>
      <c r="K10" s="194"/>
      <c r="L10" s="194"/>
      <c r="M10" s="199"/>
      <c r="N10" s="194"/>
      <c r="O10" s="194"/>
      <c r="P10" s="194"/>
      <c r="Q10" s="194"/>
      <c r="R10" s="194"/>
      <c r="S10" s="195"/>
      <c r="T10" s="195"/>
    </row>
    <row r="11" spans="1:34" x14ac:dyDescent="0.35">
      <c r="A11" s="193"/>
      <c r="B11" s="196"/>
      <c r="C11" s="193"/>
      <c r="D11" s="193"/>
      <c r="E11" s="197"/>
      <c r="F11" s="197"/>
      <c r="G11" s="191"/>
      <c r="H11" s="193"/>
      <c r="I11" s="193"/>
      <c r="J11" s="193"/>
      <c r="K11" s="199"/>
      <c r="L11" s="199"/>
      <c r="M11" s="199"/>
      <c r="N11" s="199"/>
      <c r="O11" s="199"/>
      <c r="P11" s="199"/>
      <c r="Q11" s="195"/>
      <c r="R11" s="195"/>
      <c r="S11" s="195"/>
      <c r="T11" s="195"/>
    </row>
    <row r="12" spans="1:34" x14ac:dyDescent="0.35">
      <c r="A12" s="193"/>
      <c r="B12" s="196"/>
      <c r="C12" s="193"/>
      <c r="D12" s="193"/>
      <c r="E12" s="197"/>
      <c r="F12" s="197"/>
      <c r="G12" s="191"/>
      <c r="H12" s="194"/>
      <c r="I12" s="194"/>
      <c r="J12" s="194"/>
      <c r="K12" s="194"/>
      <c r="L12" s="194"/>
      <c r="M12" s="194"/>
      <c r="N12" s="194"/>
      <c r="O12" s="194"/>
      <c r="P12" s="194"/>
      <c r="Q12" s="195"/>
      <c r="R12" s="195"/>
      <c r="S12" s="195"/>
      <c r="T12" s="195"/>
    </row>
    <row r="13" spans="1:34" x14ac:dyDescent="0.35">
      <c r="A13" s="189"/>
      <c r="B13" s="191"/>
      <c r="C13" s="190"/>
      <c r="D13" s="190"/>
      <c r="E13" s="200"/>
      <c r="F13" s="200"/>
      <c r="G13" s="191"/>
      <c r="H13" s="194"/>
      <c r="I13" s="194"/>
      <c r="J13" s="194"/>
      <c r="K13" s="194"/>
      <c r="L13" s="194"/>
      <c r="M13" s="195"/>
      <c r="N13" s="194"/>
      <c r="O13" s="194"/>
      <c r="P13" s="194"/>
      <c r="Q13" s="194"/>
      <c r="R13" s="195"/>
      <c r="S13" s="195"/>
      <c r="T13" s="195"/>
    </row>
    <row r="14" spans="1:34" ht="180" customHeight="1" x14ac:dyDescent="0.35">
      <c r="A14" s="189"/>
      <c r="B14" s="191"/>
      <c r="C14" s="190"/>
      <c r="D14" s="190"/>
      <c r="E14" s="200"/>
      <c r="F14" s="200"/>
      <c r="G14" s="197"/>
      <c r="H14" s="193"/>
      <c r="I14" s="193"/>
      <c r="J14" s="193"/>
      <c r="K14" s="201"/>
      <c r="L14" s="201"/>
      <c r="M14" s="201"/>
      <c r="N14" s="201"/>
      <c r="O14" s="201"/>
      <c r="P14" s="201"/>
      <c r="Q14" s="201"/>
      <c r="R14" s="201"/>
      <c r="S14" s="201"/>
      <c r="T14" s="201"/>
    </row>
    <row r="15" spans="1:34" x14ac:dyDescent="0.35">
      <c r="A15" s="189"/>
      <c r="B15" s="191"/>
      <c r="C15" s="190"/>
      <c r="D15" s="190"/>
      <c r="E15" s="200"/>
      <c r="F15" s="200"/>
      <c r="G15" s="197"/>
      <c r="H15" s="194"/>
      <c r="I15" s="194"/>
      <c r="J15" s="194"/>
      <c r="K15" s="194"/>
      <c r="L15" s="194"/>
      <c r="M15" s="194"/>
      <c r="N15" s="194"/>
      <c r="O15" s="194"/>
      <c r="P15" s="194"/>
      <c r="Q15" s="195"/>
      <c r="R15" s="195"/>
      <c r="S15" s="195"/>
      <c r="T15" s="195"/>
    </row>
    <row r="16" spans="1:34" x14ac:dyDescent="0.35">
      <c r="A16" s="189"/>
      <c r="B16" s="202"/>
      <c r="C16" s="190"/>
      <c r="D16" s="189"/>
      <c r="E16" s="202"/>
      <c r="F16" s="203"/>
      <c r="G16" s="191"/>
      <c r="H16" s="193"/>
      <c r="I16" s="193"/>
      <c r="J16" s="193"/>
      <c r="K16" s="199"/>
      <c r="L16" s="199"/>
      <c r="M16" s="199"/>
      <c r="N16" s="199"/>
      <c r="O16" s="199"/>
      <c r="P16" s="199"/>
      <c r="Q16" s="199"/>
      <c r="R16" s="199"/>
      <c r="S16" s="199"/>
      <c r="T16" s="199"/>
    </row>
    <row r="17" spans="1:20" x14ac:dyDescent="0.35">
      <c r="A17" s="189"/>
      <c r="B17" s="189"/>
      <c r="C17" s="190"/>
      <c r="D17" s="189"/>
      <c r="E17" s="202"/>
      <c r="F17" s="200"/>
      <c r="G17" s="191"/>
      <c r="H17" s="193"/>
      <c r="I17" s="193"/>
      <c r="J17" s="193"/>
      <c r="K17" s="193"/>
      <c r="L17" s="193"/>
      <c r="M17" s="193"/>
      <c r="N17" s="193"/>
      <c r="O17" s="193"/>
      <c r="P17" s="193"/>
      <c r="Q17" s="193"/>
      <c r="R17" s="193"/>
      <c r="S17" s="193"/>
      <c r="T17" s="193"/>
    </row>
    <row r="18" spans="1:20" x14ac:dyDescent="0.35">
      <c r="A18" s="189"/>
      <c r="B18" s="189"/>
      <c r="C18" s="190"/>
      <c r="D18" s="189"/>
      <c r="E18" s="202"/>
      <c r="F18" s="200"/>
      <c r="G18" s="191"/>
      <c r="H18" s="193"/>
      <c r="I18" s="193"/>
      <c r="J18" s="193"/>
      <c r="K18" s="193"/>
      <c r="L18" s="193"/>
      <c r="M18" s="193"/>
      <c r="N18" s="193"/>
      <c r="O18" s="193"/>
      <c r="P18" s="193"/>
      <c r="Q18" s="193"/>
      <c r="R18" s="193"/>
      <c r="S18" s="193"/>
      <c r="T18" s="193"/>
    </row>
    <row r="19" spans="1:20" x14ac:dyDescent="0.35">
      <c r="A19" s="189"/>
      <c r="B19" s="189"/>
      <c r="C19" s="190"/>
      <c r="D19" s="189"/>
      <c r="E19" s="202"/>
      <c r="F19" s="191"/>
      <c r="G19" s="191"/>
      <c r="H19" s="193"/>
      <c r="I19" s="193"/>
      <c r="J19" s="193"/>
      <c r="K19" s="193"/>
      <c r="L19" s="193"/>
      <c r="M19" s="193"/>
      <c r="N19" s="193"/>
      <c r="O19" s="193"/>
      <c r="P19" s="193"/>
      <c r="Q19" s="193"/>
      <c r="R19" s="193"/>
      <c r="S19" s="193"/>
      <c r="T19" s="193"/>
    </row>
    <row r="20" spans="1:20" x14ac:dyDescent="0.35">
      <c r="A20" s="204"/>
      <c r="B20" s="205"/>
      <c r="C20" s="204"/>
      <c r="D20" s="204"/>
      <c r="E20" s="206"/>
      <c r="F20" s="206"/>
      <c r="K20">
        <f>SUM(K3:K19)</f>
        <v>9</v>
      </c>
      <c r="L20">
        <f t="shared" ref="L20:T20" si="0">SUM(L3:L19)</f>
        <v>6</v>
      </c>
      <c r="M20">
        <f t="shared" si="0"/>
        <v>4</v>
      </c>
      <c r="N20">
        <f t="shared" si="0"/>
        <v>14</v>
      </c>
      <c r="O20">
        <f t="shared" si="0"/>
        <v>5</v>
      </c>
      <c r="P20">
        <f t="shared" si="0"/>
        <v>10</v>
      </c>
      <c r="Q20">
        <f t="shared" si="0"/>
        <v>12</v>
      </c>
      <c r="R20">
        <f t="shared" si="0"/>
        <v>18</v>
      </c>
      <c r="S20">
        <f t="shared" si="0"/>
        <v>7</v>
      </c>
      <c r="T20">
        <f t="shared" si="0"/>
        <v>10</v>
      </c>
    </row>
    <row r="21" spans="1:20" x14ac:dyDescent="0.35">
      <c r="A21" s="207"/>
      <c r="B21" s="208"/>
      <c r="C21" s="207"/>
      <c r="D21" s="207"/>
      <c r="E21" s="208"/>
      <c r="F21" s="209"/>
    </row>
    <row r="22" spans="1:20" x14ac:dyDescent="0.35">
      <c r="A22" s="207"/>
      <c r="B22" s="208"/>
      <c r="C22" s="207"/>
      <c r="D22" s="207"/>
      <c r="E22" s="208"/>
      <c r="F22" s="209"/>
      <c r="N22">
        <v>20</v>
      </c>
      <c r="Q22">
        <v>15</v>
      </c>
      <c r="R22">
        <v>15</v>
      </c>
    </row>
    <row r="23" spans="1:20" x14ac:dyDescent="0.35">
      <c r="A23" s="207"/>
      <c r="B23" s="208"/>
      <c r="C23" s="207"/>
      <c r="D23" s="207"/>
      <c r="E23" s="208"/>
      <c r="F23" s="209"/>
    </row>
    <row r="24" spans="1:20" x14ac:dyDescent="0.35">
      <c r="A24" s="207"/>
      <c r="B24" s="208"/>
      <c r="C24" s="207"/>
      <c r="D24" s="207"/>
      <c r="E24" s="208"/>
      <c r="F24" s="209"/>
    </row>
    <row r="25" spans="1:20" x14ac:dyDescent="0.35">
      <c r="A25" s="207"/>
      <c r="B25" s="208"/>
      <c r="C25" s="207"/>
      <c r="D25" s="207"/>
      <c r="E25" s="208"/>
      <c r="F25" s="209"/>
    </row>
    <row r="26" spans="1:20" x14ac:dyDescent="0.35">
      <c r="A26" s="207"/>
      <c r="B26" s="208"/>
      <c r="C26" s="207"/>
      <c r="D26" s="207"/>
      <c r="E26" s="208"/>
      <c r="F26" s="209"/>
    </row>
    <row r="27" spans="1:20" x14ac:dyDescent="0.35">
      <c r="A27" s="207"/>
      <c r="B27" s="208"/>
      <c r="C27" s="207"/>
      <c r="D27" s="207"/>
      <c r="E27" s="208"/>
      <c r="F27" s="209"/>
    </row>
    <row r="28" spans="1:20" x14ac:dyDescent="0.35">
      <c r="A28" s="207"/>
      <c r="B28" s="208"/>
      <c r="C28" s="207"/>
      <c r="D28" s="207"/>
      <c r="E28" s="208"/>
      <c r="F28" s="209"/>
    </row>
    <row r="29" spans="1:20" x14ac:dyDescent="0.35">
      <c r="A29" s="207"/>
      <c r="B29" s="208"/>
      <c r="C29" s="207"/>
      <c r="D29" s="207"/>
      <c r="E29" s="208"/>
      <c r="F29" s="209"/>
    </row>
    <row r="30" spans="1:20" x14ac:dyDescent="0.35">
      <c r="A30" s="207"/>
      <c r="B30" s="208"/>
      <c r="C30" s="207"/>
      <c r="D30" s="207"/>
      <c r="E30" s="208"/>
      <c r="F30" s="209"/>
    </row>
    <row r="31" spans="1:20" x14ac:dyDescent="0.35">
      <c r="A31" s="207"/>
      <c r="B31" s="208"/>
      <c r="C31" s="207"/>
      <c r="D31" s="207"/>
      <c r="E31" s="208"/>
      <c r="F31" s="209"/>
    </row>
    <row r="32" spans="1:20" x14ac:dyDescent="0.35">
      <c r="A32" s="207"/>
      <c r="B32" s="208"/>
      <c r="C32" s="207"/>
      <c r="D32" s="207"/>
      <c r="E32" s="208"/>
      <c r="F32" s="209"/>
    </row>
    <row r="33" spans="1:6" x14ac:dyDescent="0.35">
      <c r="A33" s="207"/>
      <c r="B33" s="208"/>
      <c r="C33" s="207"/>
      <c r="D33" s="207"/>
      <c r="E33" s="208"/>
      <c r="F33" s="209"/>
    </row>
    <row r="34" spans="1:6" x14ac:dyDescent="0.35">
      <c r="A34" s="207"/>
      <c r="B34" s="208"/>
      <c r="C34" s="207"/>
      <c r="D34" s="207"/>
      <c r="E34" s="208"/>
      <c r="F34" s="209"/>
    </row>
    <row r="35" spans="1:6" x14ac:dyDescent="0.35">
      <c r="A35" s="207"/>
      <c r="B35" s="208"/>
      <c r="C35" s="207"/>
      <c r="D35" s="207"/>
      <c r="E35" s="208"/>
      <c r="F35" s="209"/>
    </row>
  </sheetData>
  <mergeCells count="21">
    <mergeCell ref="AG1:AG2"/>
    <mergeCell ref="AH1:AH2"/>
    <mergeCell ref="Y1:Z1"/>
    <mergeCell ref="AA1:AA2"/>
    <mergeCell ref="AB1:AD1"/>
    <mergeCell ref="AE1:AE2"/>
    <mergeCell ref="AF1:AF2"/>
    <mergeCell ref="Q1:Q2"/>
    <mergeCell ref="R1:R2"/>
    <mergeCell ref="S1:S2"/>
    <mergeCell ref="T1:T2"/>
    <mergeCell ref="N1:P1"/>
    <mergeCell ref="K1:L1"/>
    <mergeCell ref="M1:M2"/>
    <mergeCell ref="A1:A2"/>
    <mergeCell ref="B1:B2"/>
    <mergeCell ref="C1:C2"/>
    <mergeCell ref="D1:D2"/>
    <mergeCell ref="E1:E2"/>
    <mergeCell ref="F1:F2"/>
    <mergeCell ref="G1: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
  <sheetViews>
    <sheetView zoomScale="90" zoomScaleNormal="90" workbookViewId="0">
      <selection activeCell="C9" sqref="C9"/>
    </sheetView>
  </sheetViews>
  <sheetFormatPr defaultColWidth="87.453125" defaultRowHeight="13" x14ac:dyDescent="0.3"/>
  <cols>
    <col min="1" max="1" width="3.54296875" style="57" bestFit="1" customWidth="1"/>
    <col min="2" max="2" width="24.54296875" style="57" customWidth="1"/>
    <col min="3" max="3" width="51.453125" style="57" customWidth="1"/>
    <col min="4" max="4" width="28.453125" style="57" customWidth="1"/>
    <col min="5" max="5" width="15.54296875" style="56" customWidth="1"/>
    <col min="6" max="6" width="4.54296875" style="57" bestFit="1" customWidth="1"/>
    <col min="7" max="7" width="8.453125" style="56" customWidth="1"/>
    <col min="8" max="8" width="12.453125" style="57" customWidth="1"/>
    <col min="9" max="9" width="33.54296875" style="57" customWidth="1"/>
    <col min="10" max="16384" width="87.453125" style="57"/>
  </cols>
  <sheetData>
    <row r="1" spans="1:7" ht="13.5" thickBot="1" x14ac:dyDescent="0.35">
      <c r="A1" s="54" t="s">
        <v>112</v>
      </c>
      <c r="B1" s="256" t="s">
        <v>113</v>
      </c>
      <c r="C1" s="257"/>
      <c r="D1" s="55" t="s">
        <v>114</v>
      </c>
      <c r="E1" s="56" t="s">
        <v>115</v>
      </c>
      <c r="F1" s="57" t="s">
        <v>116</v>
      </c>
      <c r="G1" s="56" t="s">
        <v>0</v>
      </c>
    </row>
    <row r="2" spans="1:7" ht="13.5" thickBot="1" x14ac:dyDescent="0.35">
      <c r="A2" s="58"/>
      <c r="B2" s="59" t="s">
        <v>117</v>
      </c>
      <c r="C2" s="60"/>
      <c r="D2" s="61"/>
      <c r="E2" s="62">
        <f>'[2]Revamp Antasena'!K14</f>
        <v>1.5</v>
      </c>
      <c r="F2" s="63">
        <v>1</v>
      </c>
      <c r="G2" s="62">
        <f>E2*F2</f>
        <v>1.5</v>
      </c>
    </row>
    <row r="3" spans="1:7" ht="13.5" thickBot="1" x14ac:dyDescent="0.35">
      <c r="A3" s="58"/>
      <c r="B3" s="64"/>
      <c r="C3" s="65" t="s">
        <v>118</v>
      </c>
      <c r="D3" s="65"/>
      <c r="E3" s="62"/>
      <c r="F3" s="63"/>
      <c r="G3" s="62"/>
    </row>
    <row r="4" spans="1:7" ht="13.5" thickBot="1" x14ac:dyDescent="0.35">
      <c r="A4" s="58"/>
      <c r="B4" s="64"/>
      <c r="C4" s="65" t="s">
        <v>119</v>
      </c>
      <c r="D4" s="65"/>
      <c r="E4" s="62"/>
      <c r="F4" s="63"/>
      <c r="G4" s="62"/>
    </row>
    <row r="5" spans="1:7" ht="13.5" thickBot="1" x14ac:dyDescent="0.35">
      <c r="A5" s="58"/>
      <c r="B5" s="59" t="s">
        <v>120</v>
      </c>
      <c r="C5" s="61"/>
      <c r="D5" s="61"/>
      <c r="E5" s="62"/>
      <c r="F5" s="63"/>
      <c r="G5" s="62"/>
    </row>
    <row r="6" spans="1:7" ht="26.5" thickBot="1" x14ac:dyDescent="0.35">
      <c r="A6" s="58"/>
      <c r="B6" s="66" t="s">
        <v>121</v>
      </c>
      <c r="C6" s="65" t="s">
        <v>122</v>
      </c>
      <c r="D6" s="65"/>
      <c r="E6" s="62">
        <f>'[2]Revamp Antasena'!K15</f>
        <v>2</v>
      </c>
      <c r="F6" s="63">
        <v>1</v>
      </c>
      <c r="G6" s="62">
        <f t="shared" ref="G6:G16" si="0">E6*F6</f>
        <v>2</v>
      </c>
    </row>
    <row r="7" spans="1:7" x14ac:dyDescent="0.3">
      <c r="A7" s="58"/>
      <c r="B7" s="59" t="s">
        <v>123</v>
      </c>
      <c r="C7" s="67"/>
      <c r="D7" s="67"/>
      <c r="E7" s="62"/>
      <c r="F7" s="63"/>
      <c r="G7" s="62">
        <f t="shared" si="0"/>
        <v>0</v>
      </c>
    </row>
    <row r="8" spans="1:7" x14ac:dyDescent="0.3">
      <c r="A8" s="68"/>
      <c r="B8" s="69"/>
      <c r="C8" s="70"/>
      <c r="D8" s="71"/>
      <c r="E8" s="62"/>
      <c r="F8" s="63"/>
      <c r="G8" s="62"/>
    </row>
    <row r="9" spans="1:7" ht="26" x14ac:dyDescent="0.3">
      <c r="A9" s="68"/>
      <c r="B9" s="66" t="s">
        <v>121</v>
      </c>
      <c r="C9" s="72" t="s">
        <v>124</v>
      </c>
      <c r="D9" s="71"/>
      <c r="E9" s="62">
        <f>'[2]Revamp Antasena'!K15</f>
        <v>2</v>
      </c>
      <c r="F9" s="63">
        <v>1</v>
      </c>
      <c r="G9" s="62">
        <f t="shared" ref="G9" si="1">E9*F9</f>
        <v>2</v>
      </c>
    </row>
    <row r="10" spans="1:7" x14ac:dyDescent="0.3">
      <c r="A10" s="68"/>
      <c r="B10" s="69"/>
      <c r="C10" s="72"/>
      <c r="D10" s="71"/>
      <c r="E10" s="62"/>
      <c r="F10" s="63"/>
      <c r="G10" s="62"/>
    </row>
    <row r="11" spans="1:7" x14ac:dyDescent="0.3">
      <c r="A11" s="58"/>
      <c r="B11" s="59" t="s">
        <v>93</v>
      </c>
      <c r="C11" s="67"/>
      <c r="D11" s="67" t="s">
        <v>125</v>
      </c>
      <c r="E11" s="62"/>
      <c r="F11" s="63"/>
      <c r="G11" s="62"/>
    </row>
    <row r="12" spans="1:7" ht="52" x14ac:dyDescent="0.3">
      <c r="A12" s="68"/>
      <c r="B12" s="66" t="s">
        <v>121</v>
      </c>
      <c r="C12" s="73" t="s">
        <v>126</v>
      </c>
      <c r="D12" s="69"/>
      <c r="E12" s="62">
        <f>'[2]Revamp Antasena'!K16</f>
        <v>3</v>
      </c>
      <c r="F12" s="63">
        <v>1</v>
      </c>
      <c r="G12" s="62">
        <f t="shared" ref="G12" si="2">E12*F12</f>
        <v>3</v>
      </c>
    </row>
    <row r="13" spans="1:7" ht="15.75" customHeight="1" x14ac:dyDescent="0.3">
      <c r="A13" s="68"/>
      <c r="B13" s="69"/>
      <c r="C13" s="74"/>
      <c r="D13" s="69"/>
      <c r="E13" s="62"/>
      <c r="F13" s="63"/>
      <c r="G13" s="62"/>
    </row>
    <row r="14" spans="1:7" ht="13.5" thickBot="1" x14ac:dyDescent="0.35">
      <c r="A14" s="58"/>
      <c r="B14" s="75" t="s">
        <v>88</v>
      </c>
      <c r="C14" s="61"/>
      <c r="D14" s="61" t="s">
        <v>127</v>
      </c>
      <c r="E14" s="62">
        <f>'[2]Revamp Antasena'!K17</f>
        <v>3</v>
      </c>
      <c r="F14" s="63">
        <v>3</v>
      </c>
      <c r="G14" s="62">
        <f t="shared" si="0"/>
        <v>9</v>
      </c>
    </row>
    <row r="15" spans="1:7" ht="13.5" thickBot="1" x14ac:dyDescent="0.35">
      <c r="A15" s="58"/>
      <c r="B15" s="76" t="s">
        <v>128</v>
      </c>
      <c r="C15" s="60"/>
      <c r="D15" s="60" t="s">
        <v>129</v>
      </c>
      <c r="E15" s="62">
        <f>'[2]Revamp Antasena'!K18</f>
        <v>2</v>
      </c>
      <c r="F15" s="63">
        <v>1</v>
      </c>
      <c r="G15" s="62">
        <f t="shared" si="0"/>
        <v>2</v>
      </c>
    </row>
    <row r="16" spans="1:7" ht="13.5" thickBot="1" x14ac:dyDescent="0.35">
      <c r="A16" s="58"/>
      <c r="B16" s="76" t="s">
        <v>130</v>
      </c>
      <c r="C16" s="60"/>
      <c r="D16" s="60" t="s">
        <v>130</v>
      </c>
      <c r="E16" s="62">
        <f>'[2]Revamp Antasena'!K19</f>
        <v>2</v>
      </c>
      <c r="F16" s="63">
        <v>1</v>
      </c>
      <c r="G16" s="62">
        <f t="shared" si="0"/>
        <v>2</v>
      </c>
    </row>
    <row r="17" spans="1:7" ht="13.5" thickBot="1" x14ac:dyDescent="0.35">
      <c r="A17" s="77"/>
      <c r="B17" s="258" t="s">
        <v>131</v>
      </c>
      <c r="C17" s="259"/>
      <c r="D17" s="75"/>
      <c r="G17" s="78">
        <f>SUM(G2:G16)</f>
        <v>21.5</v>
      </c>
    </row>
    <row r="19" spans="1:7" x14ac:dyDescent="0.3">
      <c r="C19" s="56"/>
      <c r="G19" s="57"/>
    </row>
    <row r="20" spans="1:7" x14ac:dyDescent="0.3">
      <c r="C20" s="56"/>
      <c r="G20" s="57"/>
    </row>
    <row r="21" spans="1:7" x14ac:dyDescent="0.3">
      <c r="C21" s="56"/>
      <c r="G21" s="57"/>
    </row>
    <row r="22" spans="1:7" x14ac:dyDescent="0.3">
      <c r="C22" s="56"/>
      <c r="G22" s="57"/>
    </row>
    <row r="23" spans="1:7" x14ac:dyDescent="0.3">
      <c r="C23" s="56"/>
      <c r="G23" s="57"/>
    </row>
  </sheetData>
  <mergeCells count="2">
    <mergeCell ref="B1:C1"/>
    <mergeCell ref="B17:C17"/>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11"/>
  <sheetViews>
    <sheetView workbookViewId="0">
      <selection activeCell="B7" sqref="B7"/>
    </sheetView>
  </sheetViews>
  <sheetFormatPr defaultRowHeight="14.5" x14ac:dyDescent="0.35"/>
  <cols>
    <col min="2" max="2" width="13.453125" customWidth="1"/>
    <col min="9" max="9" width="24.54296875" customWidth="1"/>
    <col min="10" max="10" width="29.453125" customWidth="1"/>
  </cols>
  <sheetData>
    <row r="2" spans="1:10" x14ac:dyDescent="0.35">
      <c r="A2" s="16" t="s">
        <v>1</v>
      </c>
      <c r="B2" s="16" t="s">
        <v>76</v>
      </c>
      <c r="C2" s="16" t="s">
        <v>3</v>
      </c>
      <c r="D2" s="16" t="s">
        <v>47</v>
      </c>
      <c r="E2" s="16" t="s">
        <v>48</v>
      </c>
      <c r="F2" s="16" t="s">
        <v>49</v>
      </c>
      <c r="G2" s="16" t="s">
        <v>50</v>
      </c>
      <c r="H2" s="16" t="s">
        <v>0</v>
      </c>
      <c r="I2" s="16" t="s">
        <v>52</v>
      </c>
      <c r="J2" s="16" t="s">
        <v>54</v>
      </c>
    </row>
    <row r="3" spans="1:10" x14ac:dyDescent="0.35">
      <c r="A3" s="10"/>
      <c r="B3" s="10"/>
      <c r="C3" s="10"/>
      <c r="D3" s="10"/>
      <c r="E3" s="10"/>
      <c r="F3" s="10"/>
      <c r="G3" s="10"/>
      <c r="H3" s="17" t="s">
        <v>10</v>
      </c>
      <c r="I3" s="11"/>
      <c r="J3" s="11"/>
    </row>
    <row r="4" spans="1:10" x14ac:dyDescent="0.35">
      <c r="A4" s="10"/>
      <c r="B4" s="10"/>
      <c r="C4" s="10"/>
      <c r="D4" s="10"/>
      <c r="E4" s="10"/>
      <c r="F4" s="10"/>
      <c r="G4" s="10"/>
      <c r="H4" s="17"/>
      <c r="I4" s="11"/>
      <c r="J4" s="11"/>
    </row>
    <row r="5" spans="1:10" x14ac:dyDescent="0.35">
      <c r="A5" s="10"/>
      <c r="B5" s="10"/>
      <c r="C5" s="10"/>
      <c r="D5" s="10"/>
      <c r="E5" s="10"/>
      <c r="F5" s="10"/>
      <c r="G5" s="10"/>
      <c r="H5" s="17"/>
      <c r="I5" s="11"/>
      <c r="J5" s="11"/>
    </row>
    <row r="6" spans="1:10" x14ac:dyDescent="0.35">
      <c r="A6" s="10"/>
      <c r="B6" s="10"/>
      <c r="C6" s="10"/>
      <c r="D6" s="10"/>
      <c r="E6" s="10"/>
      <c r="F6" s="10"/>
      <c r="G6" s="10"/>
      <c r="H6" s="17"/>
      <c r="I6" s="11"/>
      <c r="J6" s="11"/>
    </row>
    <row r="7" spans="1:10" x14ac:dyDescent="0.35">
      <c r="A7" s="10"/>
      <c r="B7" s="10"/>
      <c r="C7" s="10"/>
      <c r="D7" s="10"/>
      <c r="E7" s="10"/>
      <c r="F7" s="10"/>
      <c r="G7" s="10"/>
      <c r="H7" s="17"/>
      <c r="I7" s="11"/>
      <c r="J7" s="11"/>
    </row>
    <row r="8" spans="1:10" x14ac:dyDescent="0.35">
      <c r="A8" s="10"/>
      <c r="B8" s="10"/>
      <c r="C8" s="10"/>
      <c r="D8" s="10"/>
      <c r="E8" s="10"/>
      <c r="F8" s="10"/>
      <c r="G8" s="10"/>
      <c r="H8" s="17"/>
      <c r="I8" s="11"/>
      <c r="J8" s="11"/>
    </row>
    <row r="10" spans="1:10" ht="15" thickBot="1" x14ac:dyDescent="0.4">
      <c r="F10" s="18" t="s">
        <v>51</v>
      </c>
      <c r="G10" s="18"/>
      <c r="H10" s="18">
        <f>SUBTOTAL(9,H3:H8)</f>
        <v>0</v>
      </c>
    </row>
    <row r="11" spans="1:10" ht="15" thickTop="1"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4D827727BF404FA48911462A9BFA6A" ma:contentTypeVersion="17" ma:contentTypeDescription="Create a new document." ma:contentTypeScope="" ma:versionID="3c1ff8c6f4b2e292197e3523cb26c652">
  <xsd:schema xmlns:xsd="http://www.w3.org/2001/XMLSchema" xmlns:xs="http://www.w3.org/2001/XMLSchema" xmlns:p="http://schemas.microsoft.com/office/2006/metadata/properties" xmlns:ns1="http://schemas.microsoft.com/sharepoint/v3" xmlns:ns3="af1b0abb-548f-4470-88d8-bdd9a4481f5e" xmlns:ns4="daeb6c8a-9ab0-424d-a0e7-e8d6c802ac8d" targetNamespace="http://schemas.microsoft.com/office/2006/metadata/properties" ma:root="true" ma:fieldsID="c85b6a02f4b5876809beaf5850697766" ns1:_="" ns3:_="" ns4:_="">
    <xsd:import namespace="http://schemas.microsoft.com/sharepoint/v3"/>
    <xsd:import namespace="af1b0abb-548f-4470-88d8-bdd9a4481f5e"/>
    <xsd:import namespace="daeb6c8a-9ab0-424d-a0e7-e8d6c802ac8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_activity" minOccurs="0"/>
                <xsd:element ref="ns4:MediaServiceObjectDetectorVersions" minOccurs="0"/>
                <xsd:element ref="ns4:MediaLengthInSeconds" minOccurs="0"/>
                <xsd:element ref="ns4:MediaServiceSystemTags"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1b0abb-548f-4470-88d8-bdd9a4481f5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eb6c8a-9ab0-424d-a0e7-e8d6c802ac8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daeb6c8a-9ab0-424d-a0e7-e8d6c802ac8d"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0874F27-08F1-4C99-848A-061293BF2DE9}">
  <ds:schemaRefs>
    <ds:schemaRef ds:uri="http://schemas.microsoft.com/sharepoint/v3/contenttype/forms"/>
  </ds:schemaRefs>
</ds:datastoreItem>
</file>

<file path=customXml/itemProps2.xml><?xml version="1.0" encoding="utf-8"?>
<ds:datastoreItem xmlns:ds="http://schemas.openxmlformats.org/officeDocument/2006/customXml" ds:itemID="{74B076D8-CC7B-4446-8BBD-34E94E1A51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f1b0abb-548f-4470-88d8-bdd9a4481f5e"/>
    <ds:schemaRef ds:uri="daeb6c8a-9ab0-424d-a0e7-e8d6c802ac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CB3B2B-5893-4216-9BA5-07612F06926E}">
  <ds:schemaRefs>
    <ds:schemaRef ds:uri="af1b0abb-548f-4470-88d8-bdd9a4481f5e"/>
    <ds:schemaRef ds:uri="daeb6c8a-9ab0-424d-a0e7-e8d6c802ac8d"/>
    <ds:schemaRef ds:uri="http://schemas.microsoft.com/sharepoint/v3"/>
    <ds:schemaRef ds:uri="http://purl.org/dc/terms/"/>
    <ds:schemaRef ds:uri="http://schemas.microsoft.com/office/2006/metadata/properties"/>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LKPBU</vt:lpstr>
      <vt:lpstr>LBBU</vt:lpstr>
      <vt:lpstr>Combine</vt:lpstr>
      <vt:lpstr>Timeline</vt:lpstr>
      <vt:lpstr>Detail</vt:lpstr>
      <vt:lpstr>Detail Revamp Antasena</vt:lpstr>
      <vt:lpstr>CF Data(V+)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Emerio</dc:creator>
  <cp:lastModifiedBy>Rizka Kusumaningtyas</cp:lastModifiedBy>
  <cp:lastPrinted>2020-02-19T05:53:20Z</cp:lastPrinted>
  <dcterms:created xsi:type="dcterms:W3CDTF">2016-03-11T06:36:21Z</dcterms:created>
  <dcterms:modified xsi:type="dcterms:W3CDTF">2026-10-01T07:36:06Z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2022-10-18T13:03:44Z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23158e85-cac7-4482-804e-9025ae6e9e8e</vt:lpwstr>
  </property>
  <property fmtid="{D5CDD505-2E9C-101B-9397-08002B2CF9AE}" pid="8" name="MSIP_Label_4637e5cc-ed1f-4ad6-a881-35c0f1c6f3d8_ContentBits">
    <vt:lpwstr>0</vt:lpwstr>
  </property>
  <property fmtid="{D5CDD505-2E9C-101B-9397-08002B2CF9AE}" pid="9" name="ContentTypeId">
    <vt:lpwstr>0x010100354D827727BF404FA48911462A9BFA6A</vt:lpwstr>
  </property>
</Properties>
</file>